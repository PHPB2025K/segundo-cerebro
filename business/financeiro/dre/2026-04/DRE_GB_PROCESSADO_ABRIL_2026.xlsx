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pedrobroglio/Documents/03-Financeiro/PILARES-FINANCAS/ORÇAMENTO 2026/DRE/"/>
    </mc:Choice>
  </mc:AlternateContent>
  <xr:revisionPtr revIDLastSave="0" documentId="8_{286D19CF-FEC0-6049-87F6-0CDB97544010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H75" i="1" l="1"/>
  <c r="BG75" i="1"/>
  <c r="BF75" i="1"/>
  <c r="BE75" i="1"/>
  <c r="BC75" i="1"/>
  <c r="BB75" i="1"/>
  <c r="BA75" i="1"/>
  <c r="AZ75" i="1"/>
  <c r="AX75" i="1"/>
  <c r="AW75" i="1"/>
  <c r="AV75" i="1"/>
  <c r="AU75" i="1"/>
  <c r="AS75" i="1"/>
  <c r="AR75" i="1"/>
  <c r="AQ75" i="1"/>
  <c r="AP75" i="1"/>
  <c r="AN75" i="1"/>
  <c r="AM75" i="1"/>
  <c r="AL75" i="1"/>
  <c r="AK75" i="1"/>
  <c r="AI75" i="1"/>
  <c r="AH75" i="1"/>
  <c r="AG75" i="1"/>
  <c r="AF75" i="1"/>
  <c r="AD75" i="1"/>
  <c r="AC75" i="1"/>
  <c r="AB75" i="1"/>
  <c r="AA75" i="1"/>
  <c r="Y75" i="1"/>
  <c r="X75" i="1"/>
  <c r="W75" i="1"/>
  <c r="V75" i="1"/>
  <c r="T75" i="1"/>
  <c r="S75" i="1"/>
  <c r="R75" i="1"/>
  <c r="Q75" i="1"/>
  <c r="O75" i="1"/>
  <c r="N75" i="1"/>
  <c r="M75" i="1"/>
  <c r="L75" i="1"/>
  <c r="J75" i="1"/>
  <c r="I75" i="1"/>
  <c r="H75" i="1"/>
  <c r="G75" i="1"/>
  <c r="F75" i="1"/>
  <c r="E75" i="1"/>
  <c r="D75" i="1"/>
  <c r="C75" i="1"/>
  <c r="B75" i="1"/>
  <c r="BI74" i="1"/>
  <c r="BI75" i="1" s="1"/>
  <c r="BD74" i="1"/>
  <c r="BD75" i="1" s="1"/>
  <c r="AY74" i="1"/>
  <c r="AY75" i="1" s="1"/>
  <c r="AT74" i="1"/>
  <c r="AT75" i="1" s="1"/>
  <c r="AO74" i="1"/>
  <c r="AO75" i="1" s="1"/>
  <c r="AJ74" i="1"/>
  <c r="AJ75" i="1" s="1"/>
  <c r="AE74" i="1"/>
  <c r="AE75" i="1" s="1"/>
  <c r="Z74" i="1"/>
  <c r="Z75" i="1" s="1"/>
  <c r="U74" i="1"/>
  <c r="U75" i="1" s="1"/>
  <c r="P74" i="1"/>
  <c r="P75" i="1" s="1"/>
  <c r="K74" i="1"/>
  <c r="K75" i="1" s="1"/>
  <c r="BH68" i="1"/>
  <c r="BG68" i="1"/>
  <c r="BF68" i="1"/>
  <c r="BE68" i="1"/>
  <c r="BC68" i="1"/>
  <c r="BB68" i="1"/>
  <c r="BA68" i="1"/>
  <c r="AZ68" i="1"/>
  <c r="AX68" i="1"/>
  <c r="AW68" i="1"/>
  <c r="AV68" i="1"/>
  <c r="AU68" i="1"/>
  <c r="AS68" i="1"/>
  <c r="AR68" i="1"/>
  <c r="AQ68" i="1"/>
  <c r="AP68" i="1"/>
  <c r="AN68" i="1"/>
  <c r="AM68" i="1"/>
  <c r="AL68" i="1"/>
  <c r="AK68" i="1"/>
  <c r="AI68" i="1"/>
  <c r="AH68" i="1"/>
  <c r="AG68" i="1"/>
  <c r="AF68" i="1"/>
  <c r="AE68" i="1"/>
  <c r="AD68" i="1"/>
  <c r="AC68" i="1"/>
  <c r="AB68" i="1"/>
  <c r="AA68" i="1"/>
  <c r="Y68" i="1"/>
  <c r="X68" i="1"/>
  <c r="W68" i="1"/>
  <c r="V68" i="1"/>
  <c r="T68" i="1"/>
  <c r="S68" i="1"/>
  <c r="R68" i="1"/>
  <c r="Q68" i="1"/>
  <c r="O68" i="1"/>
  <c r="N68" i="1"/>
  <c r="M68" i="1"/>
  <c r="L68" i="1"/>
  <c r="J68" i="1"/>
  <c r="I68" i="1"/>
  <c r="H68" i="1"/>
  <c r="G68" i="1"/>
  <c r="F68" i="1"/>
  <c r="E68" i="1"/>
  <c r="D68" i="1"/>
  <c r="C68" i="1"/>
  <c r="B68" i="1"/>
  <c r="BI67" i="1"/>
  <c r="BD67" i="1"/>
  <c r="AY67" i="1"/>
  <c r="AY68" i="1" s="1"/>
  <c r="AT67" i="1"/>
  <c r="AO67" i="1"/>
  <c r="AJ67" i="1"/>
  <c r="AE67" i="1"/>
  <c r="Z67" i="1"/>
  <c r="U67" i="1"/>
  <c r="P67" i="1"/>
  <c r="K67" i="1"/>
  <c r="BI66" i="1"/>
  <c r="BD66" i="1"/>
  <c r="AY66" i="1"/>
  <c r="AT66" i="1"/>
  <c r="AT68" i="1" s="1"/>
  <c r="AO66" i="1"/>
  <c r="AJ66" i="1"/>
  <c r="AE66" i="1"/>
  <c r="Z66" i="1"/>
  <c r="Z68" i="1" s="1"/>
  <c r="U66" i="1"/>
  <c r="P66" i="1"/>
  <c r="K66" i="1"/>
  <c r="BI65" i="1"/>
  <c r="BD65" i="1"/>
  <c r="AY65" i="1"/>
  <c r="AT65" i="1"/>
  <c r="AO65" i="1"/>
  <c r="AO68" i="1" s="1"/>
  <c r="AJ65" i="1"/>
  <c r="AE65" i="1"/>
  <c r="Z65" i="1"/>
  <c r="U65" i="1"/>
  <c r="P65" i="1"/>
  <c r="K65" i="1"/>
  <c r="K68" i="1" s="1"/>
  <c r="BI64" i="1"/>
  <c r="BD64" i="1"/>
  <c r="BD68" i="1" s="1"/>
  <c r="AY64" i="1"/>
  <c r="AT64" i="1"/>
  <c r="AO64" i="1"/>
  <c r="AJ64" i="1"/>
  <c r="AE64" i="1"/>
  <c r="Z64" i="1"/>
  <c r="U64" i="1"/>
  <c r="P64" i="1"/>
  <c r="P68" i="1" s="1"/>
  <c r="K64" i="1"/>
  <c r="BH62" i="1"/>
  <c r="BH69" i="1" s="1"/>
  <c r="BG62" i="1"/>
  <c r="BG69" i="1" s="1"/>
  <c r="BF62" i="1"/>
  <c r="BF69" i="1" s="1"/>
  <c r="BE62" i="1"/>
  <c r="BE69" i="1" s="1"/>
  <c r="BC62" i="1"/>
  <c r="BC69" i="1" s="1"/>
  <c r="BB62" i="1"/>
  <c r="BB69" i="1" s="1"/>
  <c r="BA62" i="1"/>
  <c r="BA69" i="1" s="1"/>
  <c r="AZ62" i="1"/>
  <c r="AZ69" i="1" s="1"/>
  <c r="AX62" i="1"/>
  <c r="AW62" i="1"/>
  <c r="AV62" i="1"/>
  <c r="AV69" i="1" s="1"/>
  <c r="AU62" i="1"/>
  <c r="AU69" i="1" s="1"/>
  <c r="AS62" i="1"/>
  <c r="AS69" i="1" s="1"/>
  <c r="AR62" i="1"/>
  <c r="AR69" i="1" s="1"/>
  <c r="AQ62" i="1"/>
  <c r="AQ69" i="1" s="1"/>
  <c r="AP62" i="1"/>
  <c r="AN62" i="1"/>
  <c r="AN69" i="1" s="1"/>
  <c r="AM62" i="1"/>
  <c r="AL62" i="1"/>
  <c r="AL69" i="1" s="1"/>
  <c r="AK62" i="1"/>
  <c r="AK69" i="1" s="1"/>
  <c r="AI62" i="1"/>
  <c r="AI69" i="1" s="1"/>
  <c r="AH62" i="1"/>
  <c r="AH69" i="1" s="1"/>
  <c r="AG62" i="1"/>
  <c r="AF62" i="1"/>
  <c r="AF69" i="1" s="1"/>
  <c r="AD62" i="1"/>
  <c r="AD69" i="1" s="1"/>
  <c r="AC62" i="1"/>
  <c r="AC69" i="1" s="1"/>
  <c r="AB62" i="1"/>
  <c r="AB69" i="1" s="1"/>
  <c r="AA62" i="1"/>
  <c r="AA69" i="1" s="1"/>
  <c r="Y62" i="1"/>
  <c r="X62" i="1"/>
  <c r="X69" i="1" s="1"/>
  <c r="W62" i="1"/>
  <c r="V62" i="1"/>
  <c r="V69" i="1" s="1"/>
  <c r="T62" i="1"/>
  <c r="T69" i="1" s="1"/>
  <c r="S62" i="1"/>
  <c r="S69" i="1" s="1"/>
  <c r="R62" i="1"/>
  <c r="R69" i="1" s="1"/>
  <c r="Q62" i="1"/>
  <c r="Q69" i="1" s="1"/>
  <c r="O62" i="1"/>
  <c r="N62" i="1"/>
  <c r="N69" i="1" s="1"/>
  <c r="M62" i="1"/>
  <c r="M69" i="1" s="1"/>
  <c r="L62" i="1"/>
  <c r="L69" i="1" s="1"/>
  <c r="J62" i="1"/>
  <c r="J69" i="1" s="1"/>
  <c r="I62" i="1"/>
  <c r="I69" i="1" s="1"/>
  <c r="H62" i="1"/>
  <c r="H69" i="1" s="1"/>
  <c r="G62" i="1"/>
  <c r="F62" i="1"/>
  <c r="F69" i="1" s="1"/>
  <c r="E62" i="1"/>
  <c r="E69" i="1" s="1"/>
  <c r="D62" i="1"/>
  <c r="D69" i="1" s="1"/>
  <c r="C62" i="1"/>
  <c r="C69" i="1" s="1"/>
  <c r="B62" i="1"/>
  <c r="B69" i="1" s="1"/>
  <c r="BI61" i="1"/>
  <c r="BD61" i="1"/>
  <c r="AY61" i="1"/>
  <c r="AT61" i="1"/>
  <c r="AO61" i="1"/>
  <c r="AJ61" i="1"/>
  <c r="AE61" i="1"/>
  <c r="Z61" i="1"/>
  <c r="U61" i="1"/>
  <c r="P61" i="1"/>
  <c r="K61" i="1"/>
  <c r="BI60" i="1"/>
  <c r="BD60" i="1"/>
  <c r="AY60" i="1"/>
  <c r="AT60" i="1"/>
  <c r="AT62" i="1" s="1"/>
  <c r="AT69" i="1" s="1"/>
  <c r="AO60" i="1"/>
  <c r="AO62" i="1" s="1"/>
  <c r="AO69" i="1" s="1"/>
  <c r="AJ60" i="1"/>
  <c r="AE60" i="1"/>
  <c r="Z60" i="1"/>
  <c r="U60" i="1"/>
  <c r="P60" i="1"/>
  <c r="K60" i="1"/>
  <c r="BI59" i="1"/>
  <c r="BD59" i="1"/>
  <c r="AY59" i="1"/>
  <c r="AY62" i="1" s="1"/>
  <c r="AY69" i="1" s="1"/>
  <c r="AT59" i="1"/>
  <c r="AO59" i="1"/>
  <c r="AJ59" i="1"/>
  <c r="AE59" i="1"/>
  <c r="Z59" i="1"/>
  <c r="U59" i="1"/>
  <c r="P59" i="1"/>
  <c r="K59" i="1"/>
  <c r="BI58" i="1"/>
  <c r="BD58" i="1"/>
  <c r="AY58" i="1"/>
  <c r="AT58" i="1"/>
  <c r="AO58" i="1"/>
  <c r="AJ58" i="1"/>
  <c r="AE58" i="1"/>
  <c r="AE62" i="1" s="1"/>
  <c r="AE69" i="1" s="1"/>
  <c r="Z58" i="1"/>
  <c r="Z62" i="1" s="1"/>
  <c r="Z69" i="1" s="1"/>
  <c r="U58" i="1"/>
  <c r="P58" i="1"/>
  <c r="K58" i="1"/>
  <c r="K62" i="1" s="1"/>
  <c r="K69" i="1" s="1"/>
  <c r="BI52" i="1"/>
  <c r="BD52" i="1"/>
  <c r="AY52" i="1"/>
  <c r="AT52" i="1"/>
  <c r="AO52" i="1"/>
  <c r="AJ52" i="1"/>
  <c r="AE52" i="1"/>
  <c r="Z52" i="1"/>
  <c r="U52" i="1"/>
  <c r="P52" i="1"/>
  <c r="K52" i="1"/>
  <c r="BI51" i="1"/>
  <c r="BD51" i="1"/>
  <c r="AY51" i="1"/>
  <c r="AT51" i="1"/>
  <c r="AO51" i="1"/>
  <c r="AJ51" i="1"/>
  <c r="AE51" i="1"/>
  <c r="Z51" i="1"/>
  <c r="P51" i="1"/>
  <c r="K51" i="1"/>
  <c r="BH47" i="1"/>
  <c r="BG47" i="1"/>
  <c r="BF47" i="1"/>
  <c r="BE47" i="1"/>
  <c r="BC47" i="1"/>
  <c r="BB47" i="1"/>
  <c r="BA47" i="1"/>
  <c r="AZ47" i="1"/>
  <c r="AX47" i="1"/>
  <c r="AW47" i="1"/>
  <c r="AV47" i="1"/>
  <c r="AU47" i="1"/>
  <c r="AS47" i="1"/>
  <c r="AR47" i="1"/>
  <c r="AQ47" i="1"/>
  <c r="AP47" i="1"/>
  <c r="AN47" i="1"/>
  <c r="AM47" i="1"/>
  <c r="AL47" i="1"/>
  <c r="AK47" i="1"/>
  <c r="AI47" i="1"/>
  <c r="AH47" i="1"/>
  <c r="AG47" i="1"/>
  <c r="AF47" i="1"/>
  <c r="AD47" i="1"/>
  <c r="AC47" i="1"/>
  <c r="AB47" i="1"/>
  <c r="AA47" i="1"/>
  <c r="Y47" i="1"/>
  <c r="X47" i="1"/>
  <c r="W47" i="1"/>
  <c r="V47" i="1"/>
  <c r="T47" i="1"/>
  <c r="S47" i="1"/>
  <c r="R47" i="1"/>
  <c r="Q47" i="1"/>
  <c r="O47" i="1"/>
  <c r="N47" i="1"/>
  <c r="M47" i="1"/>
  <c r="L47" i="1"/>
  <c r="J47" i="1"/>
  <c r="I47" i="1"/>
  <c r="H47" i="1"/>
  <c r="G47" i="1"/>
  <c r="F47" i="1"/>
  <c r="E47" i="1"/>
  <c r="D47" i="1"/>
  <c r="C47" i="1"/>
  <c r="B47" i="1"/>
  <c r="BI46" i="1"/>
  <c r="BD46" i="1"/>
  <c r="AY46" i="1"/>
  <c r="AT46" i="1"/>
  <c r="AO46" i="1"/>
  <c r="AJ46" i="1"/>
  <c r="AE46" i="1"/>
  <c r="Z46" i="1"/>
  <c r="U46" i="1"/>
  <c r="P46" i="1"/>
  <c r="K46" i="1"/>
  <c r="BI45" i="1"/>
  <c r="BD45" i="1"/>
  <c r="AY45" i="1"/>
  <c r="AT45" i="1"/>
  <c r="AO45" i="1"/>
  <c r="AJ45" i="1"/>
  <c r="AE45" i="1"/>
  <c r="Z45" i="1"/>
  <c r="P45" i="1"/>
  <c r="K45" i="1"/>
  <c r="BI44" i="1"/>
  <c r="BD44" i="1"/>
  <c r="AY44" i="1"/>
  <c r="AT44" i="1"/>
  <c r="AO44" i="1"/>
  <c r="AJ44" i="1"/>
  <c r="AE44" i="1"/>
  <c r="Z44" i="1"/>
  <c r="P44" i="1"/>
  <c r="K44" i="1"/>
  <c r="BI43" i="1"/>
  <c r="BD43" i="1"/>
  <c r="AY43" i="1"/>
  <c r="AY47" i="1" s="1"/>
  <c r="AT43" i="1"/>
  <c r="AO43" i="1"/>
  <c r="AJ43" i="1"/>
  <c r="AE43" i="1"/>
  <c r="Z43" i="1"/>
  <c r="P43" i="1"/>
  <c r="K43" i="1"/>
  <c r="BI42" i="1"/>
  <c r="BD42" i="1"/>
  <c r="AY42" i="1"/>
  <c r="AT42" i="1"/>
  <c r="AO42" i="1"/>
  <c r="AJ42" i="1"/>
  <c r="AE42" i="1"/>
  <c r="Z42" i="1"/>
  <c r="P42" i="1"/>
  <c r="P47" i="1" s="1"/>
  <c r="K42" i="1"/>
  <c r="BI41" i="1"/>
  <c r="BD41" i="1"/>
  <c r="AY41" i="1"/>
  <c r="AT41" i="1"/>
  <c r="AO41" i="1"/>
  <c r="AJ41" i="1"/>
  <c r="AE41" i="1"/>
  <c r="Z41" i="1"/>
  <c r="P41" i="1"/>
  <c r="K41" i="1"/>
  <c r="BI40" i="1"/>
  <c r="BD40" i="1"/>
  <c r="AY40" i="1"/>
  <c r="AT40" i="1"/>
  <c r="AO40" i="1"/>
  <c r="AJ40" i="1"/>
  <c r="AE40" i="1"/>
  <c r="Z40" i="1"/>
  <c r="U40" i="1"/>
  <c r="U47" i="1" s="1"/>
  <c r="P40" i="1"/>
  <c r="K40" i="1"/>
  <c r="BI39" i="1"/>
  <c r="BD39" i="1"/>
  <c r="AY39" i="1"/>
  <c r="AT39" i="1"/>
  <c r="AO39" i="1"/>
  <c r="AJ39" i="1"/>
  <c r="AE39" i="1"/>
  <c r="Z39" i="1"/>
  <c r="P39" i="1"/>
  <c r="K39" i="1"/>
  <c r="BI37" i="1"/>
  <c r="BD37" i="1"/>
  <c r="AY37" i="1"/>
  <c r="AT37" i="1"/>
  <c r="AO37" i="1"/>
  <c r="AJ37" i="1"/>
  <c r="AE37" i="1"/>
  <c r="Z37" i="1"/>
  <c r="P37" i="1"/>
  <c r="K37" i="1"/>
  <c r="BI36" i="1"/>
  <c r="BD36" i="1"/>
  <c r="AY36" i="1"/>
  <c r="AT36" i="1"/>
  <c r="AO36" i="1"/>
  <c r="AJ36" i="1"/>
  <c r="AE36" i="1"/>
  <c r="Z36" i="1"/>
  <c r="P36" i="1"/>
  <c r="K36" i="1"/>
  <c r="BI35" i="1"/>
  <c r="BD35" i="1"/>
  <c r="AY35" i="1"/>
  <c r="AT35" i="1"/>
  <c r="AO35" i="1"/>
  <c r="AJ35" i="1"/>
  <c r="AE35" i="1"/>
  <c r="Z35" i="1"/>
  <c r="P35" i="1"/>
  <c r="K35" i="1"/>
  <c r="BI34" i="1"/>
  <c r="BD34" i="1"/>
  <c r="BD47" i="1" s="1"/>
  <c r="AY34" i="1"/>
  <c r="AT34" i="1"/>
  <c r="AT47" i="1" s="1"/>
  <c r="AO34" i="1"/>
  <c r="AJ34" i="1"/>
  <c r="AE34" i="1"/>
  <c r="Z34" i="1"/>
  <c r="P34" i="1"/>
  <c r="K34" i="1"/>
  <c r="BI33" i="1"/>
  <c r="BD33" i="1"/>
  <c r="AY33" i="1"/>
  <c r="AT33" i="1"/>
  <c r="AO33" i="1"/>
  <c r="AJ33" i="1"/>
  <c r="AE33" i="1"/>
  <c r="Z33" i="1"/>
  <c r="P33" i="1"/>
  <c r="K33" i="1"/>
  <c r="K47" i="1" s="1"/>
  <c r="BI32" i="1"/>
  <c r="BD32" i="1"/>
  <c r="AY32" i="1"/>
  <c r="AT32" i="1"/>
  <c r="AO32" i="1"/>
  <c r="AJ32" i="1"/>
  <c r="AJ47" i="1" s="1"/>
  <c r="AE32" i="1"/>
  <c r="AE47" i="1" s="1"/>
  <c r="Z32" i="1"/>
  <c r="P32" i="1"/>
  <c r="K32" i="1"/>
  <c r="BH25" i="1"/>
  <c r="BG25" i="1"/>
  <c r="BF25" i="1"/>
  <c r="BE25" i="1"/>
  <c r="BD25" i="1"/>
  <c r="BC25" i="1"/>
  <c r="BB25" i="1"/>
  <c r="BA25" i="1"/>
  <c r="AZ25" i="1"/>
  <c r="AX25" i="1"/>
  <c r="AW25" i="1"/>
  <c r="AV25" i="1"/>
  <c r="AU25" i="1"/>
  <c r="AS25" i="1"/>
  <c r="AR25" i="1"/>
  <c r="AQ25" i="1"/>
  <c r="AP25" i="1"/>
  <c r="AN25" i="1"/>
  <c r="AM25" i="1"/>
  <c r="AL25" i="1"/>
  <c r="AK25" i="1"/>
  <c r="AI25" i="1"/>
  <c r="AH25" i="1"/>
  <c r="AG25" i="1"/>
  <c r="AF25" i="1"/>
  <c r="AD25" i="1"/>
  <c r="AC25" i="1"/>
  <c r="AB25" i="1"/>
  <c r="AA25" i="1"/>
  <c r="Y25" i="1"/>
  <c r="X25" i="1"/>
  <c r="W25" i="1"/>
  <c r="V25" i="1"/>
  <c r="T25" i="1"/>
  <c r="S25" i="1"/>
  <c r="R25" i="1"/>
  <c r="Q25" i="1"/>
  <c r="O25" i="1"/>
  <c r="N25" i="1"/>
  <c r="M25" i="1"/>
  <c r="L25" i="1"/>
  <c r="J25" i="1"/>
  <c r="I25" i="1"/>
  <c r="H25" i="1"/>
  <c r="G25" i="1"/>
  <c r="F25" i="1"/>
  <c r="E25" i="1"/>
  <c r="D25" i="1"/>
  <c r="C25" i="1"/>
  <c r="B25" i="1"/>
  <c r="BI24" i="1"/>
  <c r="BD24" i="1"/>
  <c r="AY24" i="1"/>
  <c r="AT24" i="1"/>
  <c r="AO24" i="1"/>
  <c r="AJ24" i="1"/>
  <c r="AE24" i="1"/>
  <c r="Z24" i="1"/>
  <c r="P24" i="1"/>
  <c r="K24" i="1"/>
  <c r="BI23" i="1"/>
  <c r="BD23" i="1"/>
  <c r="AY23" i="1"/>
  <c r="AT23" i="1"/>
  <c r="AT25" i="1" s="1"/>
  <c r="AO23" i="1"/>
  <c r="AJ23" i="1"/>
  <c r="AE23" i="1"/>
  <c r="Z23" i="1"/>
  <c r="U23" i="1"/>
  <c r="P23" i="1"/>
  <c r="K23" i="1"/>
  <c r="BI22" i="1"/>
  <c r="BD22" i="1"/>
  <c r="AY22" i="1"/>
  <c r="AT22" i="1"/>
  <c r="AO22" i="1"/>
  <c r="AJ22" i="1"/>
  <c r="AE22" i="1"/>
  <c r="Z22" i="1"/>
  <c r="Z25" i="1" s="1"/>
  <c r="U22" i="1"/>
  <c r="U25" i="1" s="1"/>
  <c r="P22" i="1"/>
  <c r="K22" i="1"/>
  <c r="BI21" i="1"/>
  <c r="BI25" i="1" s="1"/>
  <c r="BD21" i="1"/>
  <c r="AY21" i="1"/>
  <c r="AT21" i="1"/>
  <c r="AO21" i="1"/>
  <c r="AO25" i="1" s="1"/>
  <c r="AJ21" i="1"/>
  <c r="AJ25" i="1" s="1"/>
  <c r="AE21" i="1"/>
  <c r="AE25" i="1" s="1"/>
  <c r="Z21" i="1"/>
  <c r="P21" i="1"/>
  <c r="P25" i="1" s="1"/>
  <c r="K21" i="1"/>
  <c r="AU18" i="1"/>
  <c r="AM18" i="1"/>
  <c r="AM54" i="1" s="1"/>
  <c r="W18" i="1"/>
  <c r="W54" i="1" s="1"/>
  <c r="O18" i="1"/>
  <c r="O54" i="1" s="1"/>
  <c r="G18" i="1"/>
  <c r="BH16" i="1"/>
  <c r="BG16" i="1"/>
  <c r="BF16" i="1"/>
  <c r="BE16" i="1"/>
  <c r="BC16" i="1"/>
  <c r="BB16" i="1"/>
  <c r="BA16" i="1"/>
  <c r="AZ16" i="1"/>
  <c r="AX16" i="1"/>
  <c r="AW16" i="1"/>
  <c r="AV16" i="1"/>
  <c r="AU16" i="1"/>
  <c r="AS16" i="1"/>
  <c r="AR16" i="1"/>
  <c r="AQ16" i="1"/>
  <c r="AP16" i="1"/>
  <c r="AN16" i="1"/>
  <c r="AM16" i="1"/>
  <c r="AL16" i="1"/>
  <c r="AK16" i="1"/>
  <c r="AI16" i="1"/>
  <c r="AH16" i="1"/>
  <c r="AG16" i="1"/>
  <c r="AF16" i="1"/>
  <c r="AD16" i="1"/>
  <c r="AC16" i="1"/>
  <c r="AB16" i="1"/>
  <c r="AA16" i="1"/>
  <c r="Y16" i="1"/>
  <c r="X16" i="1"/>
  <c r="W16" i="1"/>
  <c r="V16" i="1"/>
  <c r="T16" i="1"/>
  <c r="S16" i="1"/>
  <c r="R16" i="1"/>
  <c r="Q16" i="1"/>
  <c r="O16" i="1"/>
  <c r="N16" i="1"/>
  <c r="M16" i="1"/>
  <c r="L16" i="1"/>
  <c r="J16" i="1"/>
  <c r="I16" i="1"/>
  <c r="H16" i="1"/>
  <c r="G16" i="1"/>
  <c r="F16" i="1"/>
  <c r="E16" i="1"/>
  <c r="D16" i="1"/>
  <c r="C16" i="1"/>
  <c r="B16" i="1"/>
  <c r="BI15" i="1"/>
  <c r="BD15" i="1"/>
  <c r="AY15" i="1"/>
  <c r="AT15" i="1"/>
  <c r="AO15" i="1"/>
  <c r="AJ15" i="1"/>
  <c r="AE15" i="1"/>
  <c r="Z15" i="1"/>
  <c r="P15" i="1"/>
  <c r="K15" i="1"/>
  <c r="BI14" i="1"/>
  <c r="BD14" i="1"/>
  <c r="AY14" i="1"/>
  <c r="AT14" i="1"/>
  <c r="AO14" i="1"/>
  <c r="AJ14" i="1"/>
  <c r="AE14" i="1"/>
  <c r="Z14" i="1"/>
  <c r="P14" i="1"/>
  <c r="K14" i="1"/>
  <c r="BI13" i="1"/>
  <c r="BI16" i="1" s="1"/>
  <c r="BD13" i="1"/>
  <c r="BD16" i="1" s="1"/>
  <c r="AY13" i="1"/>
  <c r="AY16" i="1" s="1"/>
  <c r="AT13" i="1"/>
  <c r="AT16" i="1" s="1"/>
  <c r="AO13" i="1"/>
  <c r="AO16" i="1" s="1"/>
  <c r="AJ13" i="1"/>
  <c r="AJ16" i="1" s="1"/>
  <c r="AE13" i="1"/>
  <c r="AE16" i="1" s="1"/>
  <c r="Z13" i="1"/>
  <c r="Z16" i="1" s="1"/>
  <c r="P13" i="1"/>
  <c r="P16" i="1" s="1"/>
  <c r="K13" i="1"/>
  <c r="K16" i="1" s="1"/>
  <c r="BI10" i="1"/>
  <c r="BH10" i="1"/>
  <c r="BH18" i="1" s="1"/>
  <c r="BG10" i="1"/>
  <c r="BG18" i="1" s="1"/>
  <c r="BF10" i="1"/>
  <c r="BF18" i="1" s="1"/>
  <c r="BE10" i="1"/>
  <c r="BE18" i="1" s="1"/>
  <c r="BE54" i="1" s="1"/>
  <c r="BC10" i="1"/>
  <c r="BC18" i="1" s="1"/>
  <c r="BB10" i="1"/>
  <c r="BB18" i="1" s="1"/>
  <c r="BA10" i="1"/>
  <c r="BA18" i="1" s="1"/>
  <c r="BA28" i="1" s="1"/>
  <c r="AZ10" i="1"/>
  <c r="AZ18" i="1" s="1"/>
  <c r="AX10" i="1"/>
  <c r="AX18" i="1" s="1"/>
  <c r="AW10" i="1"/>
  <c r="AW18" i="1" s="1"/>
  <c r="AV10" i="1"/>
  <c r="AV18" i="1" s="1"/>
  <c r="AU10" i="1"/>
  <c r="AS10" i="1"/>
  <c r="AS18" i="1" s="1"/>
  <c r="AR10" i="1"/>
  <c r="AR18" i="1" s="1"/>
  <c r="AQ10" i="1"/>
  <c r="AQ18" i="1" s="1"/>
  <c r="AP10" i="1"/>
  <c r="AP18" i="1" s="1"/>
  <c r="AN10" i="1"/>
  <c r="AN18" i="1" s="1"/>
  <c r="AM10" i="1"/>
  <c r="AL10" i="1"/>
  <c r="AL18" i="1" s="1"/>
  <c r="AK10" i="1"/>
  <c r="AK18" i="1" s="1"/>
  <c r="AI10" i="1"/>
  <c r="AI18" i="1" s="1"/>
  <c r="AH10" i="1"/>
  <c r="AH18" i="1" s="1"/>
  <c r="AG10" i="1"/>
  <c r="AG18" i="1" s="1"/>
  <c r="AF10" i="1"/>
  <c r="AF18" i="1" s="1"/>
  <c r="AD10" i="1"/>
  <c r="AD18" i="1" s="1"/>
  <c r="AC10" i="1"/>
  <c r="AC18" i="1" s="1"/>
  <c r="AB10" i="1"/>
  <c r="AB18" i="1" s="1"/>
  <c r="AA10" i="1"/>
  <c r="AA18" i="1" s="1"/>
  <c r="Y10" i="1"/>
  <c r="Y18" i="1" s="1"/>
  <c r="X10" i="1"/>
  <c r="X18" i="1" s="1"/>
  <c r="W10" i="1"/>
  <c r="V10" i="1"/>
  <c r="V18" i="1" s="1"/>
  <c r="U10" i="1"/>
  <c r="U13" i="1" s="1"/>
  <c r="U16" i="1" s="1"/>
  <c r="T10" i="1"/>
  <c r="T18" i="1" s="1"/>
  <c r="S10" i="1"/>
  <c r="S18" i="1" s="1"/>
  <c r="R10" i="1"/>
  <c r="R18" i="1" s="1"/>
  <c r="Q10" i="1"/>
  <c r="Q18" i="1" s="1"/>
  <c r="O10" i="1"/>
  <c r="N10" i="1"/>
  <c r="N18" i="1" s="1"/>
  <c r="M10" i="1"/>
  <c r="M18" i="1" s="1"/>
  <c r="L10" i="1"/>
  <c r="L18" i="1" s="1"/>
  <c r="J10" i="1"/>
  <c r="J18" i="1" s="1"/>
  <c r="I10" i="1"/>
  <c r="I18" i="1" s="1"/>
  <c r="H10" i="1"/>
  <c r="H18" i="1" s="1"/>
  <c r="G10" i="1"/>
  <c r="F10" i="1"/>
  <c r="F18" i="1" s="1"/>
  <c r="E10" i="1"/>
  <c r="E18" i="1" s="1"/>
  <c r="D10" i="1"/>
  <c r="D18" i="1" s="1"/>
  <c r="C10" i="1"/>
  <c r="C18" i="1" s="1"/>
  <c r="B10" i="1"/>
  <c r="B18" i="1" s="1"/>
  <c r="BI9" i="1"/>
  <c r="BD9" i="1"/>
  <c r="AY9" i="1"/>
  <c r="AT9" i="1"/>
  <c r="AT10" i="1" s="1"/>
  <c r="AO9" i="1"/>
  <c r="AO10" i="1" s="1"/>
  <c r="AJ9" i="1"/>
  <c r="AE9" i="1"/>
  <c r="Z9" i="1"/>
  <c r="U9" i="1"/>
  <c r="P9" i="1"/>
  <c r="K9" i="1"/>
  <c r="BI8" i="1"/>
  <c r="BD8" i="1"/>
  <c r="AY8" i="1"/>
  <c r="AT8" i="1"/>
  <c r="AO8" i="1"/>
  <c r="AJ8" i="1"/>
  <c r="AJ10" i="1" s="1"/>
  <c r="AJ18" i="1" s="1"/>
  <c r="AE8" i="1"/>
  <c r="Z8" i="1"/>
  <c r="P8" i="1"/>
  <c r="K8" i="1"/>
  <c r="BI7" i="1"/>
  <c r="BD7" i="1"/>
  <c r="BD10" i="1" s="1"/>
  <c r="BD18" i="1" s="1"/>
  <c r="AY7" i="1"/>
  <c r="AY10" i="1" s="1"/>
  <c r="AY18" i="1" s="1"/>
  <c r="AT7" i="1"/>
  <c r="AO7" i="1"/>
  <c r="AJ7" i="1"/>
  <c r="AE7" i="1"/>
  <c r="AE10" i="1" s="1"/>
  <c r="Z7" i="1"/>
  <c r="Z10" i="1" s="1"/>
  <c r="Z18" i="1" s="1"/>
  <c r="P7" i="1"/>
  <c r="P10" i="1" s="1"/>
  <c r="P18" i="1" s="1"/>
  <c r="K7" i="1"/>
  <c r="K10" i="1" s="1"/>
  <c r="K18" i="1" s="1"/>
  <c r="J78" i="1" l="1"/>
  <c r="J50" i="1"/>
  <c r="J28" i="1"/>
  <c r="J54" i="1"/>
  <c r="J27" i="1"/>
  <c r="J49" i="1" s="1"/>
  <c r="J53" i="1" s="1"/>
  <c r="J71" i="1" s="1"/>
  <c r="J77" i="1" s="1"/>
  <c r="BD54" i="1"/>
  <c r="BD78" i="1"/>
  <c r="BD50" i="1"/>
  <c r="BD28" i="1"/>
  <c r="BD27" i="1"/>
  <c r="BD49" i="1" s="1"/>
  <c r="BD53" i="1" s="1"/>
  <c r="BH54" i="1"/>
  <c r="BH78" i="1"/>
  <c r="BH28" i="1"/>
  <c r="BH50" i="1"/>
  <c r="BH27" i="1"/>
  <c r="BH49" i="1" s="1"/>
  <c r="BH53" i="1" s="1"/>
  <c r="BH71" i="1" s="1"/>
  <c r="BH77" i="1" s="1"/>
  <c r="D54" i="1"/>
  <c r="D27" i="1"/>
  <c r="D49" i="1" s="1"/>
  <c r="D53" i="1" s="1"/>
  <c r="D71" i="1" s="1"/>
  <c r="D77" i="1" s="1"/>
  <c r="D78" i="1" s="1"/>
  <c r="D28" i="1"/>
  <c r="H54" i="1"/>
  <c r="H78" i="1"/>
  <c r="H50" i="1"/>
  <c r="H27" i="1"/>
  <c r="H49" i="1" s="1"/>
  <c r="H53" i="1" s="1"/>
  <c r="H71" i="1" s="1"/>
  <c r="H77" i="1" s="1"/>
  <c r="H28" i="1"/>
  <c r="R78" i="1"/>
  <c r="R50" i="1"/>
  <c r="R27" i="1"/>
  <c r="R49" i="1" s="1"/>
  <c r="R53" i="1" s="1"/>
  <c r="R71" i="1" s="1"/>
  <c r="R77" i="1" s="1"/>
  <c r="R54" i="1"/>
  <c r="R28" i="1"/>
  <c r="AA28" i="1"/>
  <c r="AA78" i="1"/>
  <c r="AA27" i="1"/>
  <c r="AA49" i="1" s="1"/>
  <c r="AA53" i="1" s="1"/>
  <c r="AA71" i="1" s="1"/>
  <c r="AA77" i="1" s="1"/>
  <c r="AA54" i="1"/>
  <c r="AA50" i="1"/>
  <c r="AK78" i="1"/>
  <c r="AK50" i="1"/>
  <c r="AK54" i="1"/>
  <c r="AK28" i="1"/>
  <c r="AK27" i="1"/>
  <c r="AK49" i="1" s="1"/>
  <c r="AK53" i="1" s="1"/>
  <c r="AK71" i="1" s="1"/>
  <c r="AK77" i="1" s="1"/>
  <c r="AJ54" i="1"/>
  <c r="AJ78" i="1"/>
  <c r="AJ28" i="1"/>
  <c r="AJ27" i="1"/>
  <c r="AJ49" i="1" s="1"/>
  <c r="AJ53" i="1" s="1"/>
  <c r="AJ50" i="1"/>
  <c r="I50" i="1"/>
  <c r="I78" i="1"/>
  <c r="I54" i="1"/>
  <c r="I27" i="1"/>
  <c r="I49" i="1" s="1"/>
  <c r="I53" i="1" s="1"/>
  <c r="I71" i="1" s="1"/>
  <c r="I77" i="1" s="1"/>
  <c r="I28" i="1"/>
  <c r="S28" i="1"/>
  <c r="S78" i="1"/>
  <c r="S27" i="1"/>
  <c r="S49" i="1" s="1"/>
  <c r="S53" i="1" s="1"/>
  <c r="S71" i="1" s="1"/>
  <c r="S77" i="1" s="1"/>
  <c r="S54" i="1"/>
  <c r="S50" i="1"/>
  <c r="AB54" i="1"/>
  <c r="AB78" i="1"/>
  <c r="AB28" i="1"/>
  <c r="AB27" i="1"/>
  <c r="AB49" i="1" s="1"/>
  <c r="AB53" i="1" s="1"/>
  <c r="AB71" i="1" s="1"/>
  <c r="AB77" i="1" s="1"/>
  <c r="AB50" i="1"/>
  <c r="AL78" i="1"/>
  <c r="AL27" i="1"/>
  <c r="AL49" i="1" s="1"/>
  <c r="AL53" i="1" s="1"/>
  <c r="AL71" i="1" s="1"/>
  <c r="AL77" i="1" s="1"/>
  <c r="AL54" i="1"/>
  <c r="AL50" i="1"/>
  <c r="AL28" i="1"/>
  <c r="AV54" i="1"/>
  <c r="AV78" i="1"/>
  <c r="AV28" i="1"/>
  <c r="AV27" i="1"/>
  <c r="AV49" i="1" s="1"/>
  <c r="AV53" i="1" s="1"/>
  <c r="AV71" i="1" s="1"/>
  <c r="AV77" i="1" s="1"/>
  <c r="AV50" i="1"/>
  <c r="BF78" i="1"/>
  <c r="BF50" i="1"/>
  <c r="BF54" i="1"/>
  <c r="BF28" i="1"/>
  <c r="BF27" i="1"/>
  <c r="BF49" i="1" s="1"/>
  <c r="BF53" i="1" s="1"/>
  <c r="BF71" i="1" s="1"/>
  <c r="BF77" i="1" s="1"/>
  <c r="AW50" i="1"/>
  <c r="AW78" i="1"/>
  <c r="AW28" i="1"/>
  <c r="AW27" i="1"/>
  <c r="AW49" i="1" s="1"/>
  <c r="AW53" i="1" s="1"/>
  <c r="AW71" i="1" s="1"/>
  <c r="AW77" i="1" s="1"/>
  <c r="AW54" i="1"/>
  <c r="T54" i="1"/>
  <c r="T78" i="1"/>
  <c r="T27" i="1"/>
  <c r="T49" i="1" s="1"/>
  <c r="T53" i="1" s="1"/>
  <c r="T71" i="1" s="1"/>
  <c r="T77" i="1" s="1"/>
  <c r="T50" i="1"/>
  <c r="T28" i="1"/>
  <c r="BG28" i="1"/>
  <c r="BG78" i="1"/>
  <c r="BG27" i="1"/>
  <c r="BG49" i="1" s="1"/>
  <c r="BG53" i="1" s="1"/>
  <c r="BG71" i="1" s="1"/>
  <c r="BG77" i="1" s="1"/>
  <c r="BG54" i="1"/>
  <c r="BG50" i="1"/>
  <c r="C27" i="1"/>
  <c r="C49" i="1" s="1"/>
  <c r="C53" i="1" s="1"/>
  <c r="C71" i="1" s="1"/>
  <c r="C77" i="1" s="1"/>
  <c r="C78" i="1" s="1"/>
  <c r="AN54" i="1"/>
  <c r="AN78" i="1"/>
  <c r="AN27" i="1"/>
  <c r="AN49" i="1" s="1"/>
  <c r="AN53" i="1" s="1"/>
  <c r="AN71" i="1" s="1"/>
  <c r="AN77" i="1" s="1"/>
  <c r="AN50" i="1"/>
  <c r="AN28" i="1"/>
  <c r="AP78" i="1"/>
  <c r="AP50" i="1"/>
  <c r="AP54" i="1"/>
  <c r="AP28" i="1"/>
  <c r="AP27" i="1"/>
  <c r="AP49" i="1" s="1"/>
  <c r="AP53" i="1" s="1"/>
  <c r="AY28" i="1"/>
  <c r="AY78" i="1"/>
  <c r="AY27" i="1"/>
  <c r="AY49" i="1" s="1"/>
  <c r="AY53" i="1" s="1"/>
  <c r="AY71" i="1" s="1"/>
  <c r="AY77" i="1" s="1"/>
  <c r="AY54" i="1"/>
  <c r="AY50" i="1"/>
  <c r="AC78" i="1"/>
  <c r="AC50" i="1"/>
  <c r="AC54" i="1"/>
  <c r="AC27" i="1"/>
  <c r="AC49" i="1" s="1"/>
  <c r="AC53" i="1" s="1"/>
  <c r="AC71" i="1" s="1"/>
  <c r="AC77" i="1" s="1"/>
  <c r="AC28" i="1"/>
  <c r="L54" i="1"/>
  <c r="L78" i="1"/>
  <c r="L28" i="1"/>
  <c r="L50" i="1"/>
  <c r="L27" i="1"/>
  <c r="L49" i="1" s="1"/>
  <c r="L53" i="1" s="1"/>
  <c r="L71" i="1" s="1"/>
  <c r="L77" i="1" s="1"/>
  <c r="AX78" i="1"/>
  <c r="AX50" i="1"/>
  <c r="AX27" i="1"/>
  <c r="AX49" i="1" s="1"/>
  <c r="AX53" i="1" s="1"/>
  <c r="AX54" i="1"/>
  <c r="AX28" i="1"/>
  <c r="V78" i="1"/>
  <c r="V54" i="1"/>
  <c r="V50" i="1"/>
  <c r="V28" i="1"/>
  <c r="V27" i="1"/>
  <c r="V49" i="1" s="1"/>
  <c r="V53" i="1" s="1"/>
  <c r="V71" i="1" s="1"/>
  <c r="V77" i="1" s="1"/>
  <c r="AZ54" i="1"/>
  <c r="AZ78" i="1"/>
  <c r="AZ28" i="1"/>
  <c r="AZ27" i="1"/>
  <c r="AZ49" i="1" s="1"/>
  <c r="AZ53" i="1" s="1"/>
  <c r="AZ71" i="1" s="1"/>
  <c r="AZ77" i="1" s="1"/>
  <c r="AZ50" i="1"/>
  <c r="AO18" i="1"/>
  <c r="N78" i="1"/>
  <c r="N27" i="1"/>
  <c r="N49" i="1" s="1"/>
  <c r="N53" i="1" s="1"/>
  <c r="N71" i="1" s="1"/>
  <c r="N77" i="1" s="1"/>
  <c r="N54" i="1"/>
  <c r="N50" i="1"/>
  <c r="N28" i="1"/>
  <c r="AQ28" i="1"/>
  <c r="AQ78" i="1"/>
  <c r="AQ27" i="1"/>
  <c r="AQ49" i="1" s="1"/>
  <c r="AQ53" i="1" s="1"/>
  <c r="AQ71" i="1" s="1"/>
  <c r="AQ77" i="1" s="1"/>
  <c r="AQ54" i="1"/>
  <c r="AQ50" i="1"/>
  <c r="AE18" i="1"/>
  <c r="AT18" i="1"/>
  <c r="F27" i="1"/>
  <c r="F49" i="1" s="1"/>
  <c r="F53" i="1" s="1"/>
  <c r="F71" i="1" s="1"/>
  <c r="F77" i="1" s="1"/>
  <c r="F78" i="1" s="1"/>
  <c r="X54" i="1"/>
  <c r="X78" i="1"/>
  <c r="X28" i="1"/>
  <c r="X27" i="1"/>
  <c r="X49" i="1" s="1"/>
  <c r="X53" i="1" s="1"/>
  <c r="X71" i="1" s="1"/>
  <c r="X77" i="1" s="1"/>
  <c r="X50" i="1"/>
  <c r="AH78" i="1"/>
  <c r="AH50" i="1"/>
  <c r="AH54" i="1"/>
  <c r="AH28" i="1"/>
  <c r="AH27" i="1"/>
  <c r="AH49" i="1" s="1"/>
  <c r="AH53" i="1" s="1"/>
  <c r="AH71" i="1" s="1"/>
  <c r="AH77" i="1" s="1"/>
  <c r="AR54" i="1"/>
  <c r="AR78" i="1"/>
  <c r="AR28" i="1"/>
  <c r="AR50" i="1"/>
  <c r="AR27" i="1"/>
  <c r="AR49" i="1" s="1"/>
  <c r="AR53" i="1" s="1"/>
  <c r="AR71" i="1" s="1"/>
  <c r="AR77" i="1" s="1"/>
  <c r="BB78" i="1"/>
  <c r="BB54" i="1"/>
  <c r="BB50" i="1"/>
  <c r="BB28" i="1"/>
  <c r="BB27" i="1"/>
  <c r="BB49" i="1" s="1"/>
  <c r="BB53" i="1" s="1"/>
  <c r="BB71" i="1" s="1"/>
  <c r="BB77" i="1" s="1"/>
  <c r="B78" i="1"/>
  <c r="B50" i="1"/>
  <c r="B28" i="1"/>
  <c r="B27" i="1"/>
  <c r="B49" i="1" s="1"/>
  <c r="B53" i="1" s="1"/>
  <c r="B71" i="1" s="1"/>
  <c r="B77" i="1" s="1"/>
  <c r="K28" i="1"/>
  <c r="K78" i="1"/>
  <c r="K27" i="1"/>
  <c r="K49" i="1" s="1"/>
  <c r="K53" i="1" s="1"/>
  <c r="K71" i="1" s="1"/>
  <c r="K77" i="1" s="1"/>
  <c r="K54" i="1"/>
  <c r="K50" i="1"/>
  <c r="AD78" i="1"/>
  <c r="AD27" i="1"/>
  <c r="AD49" i="1" s="1"/>
  <c r="AD53" i="1" s="1"/>
  <c r="AD71" i="1" s="1"/>
  <c r="AD77" i="1" s="1"/>
  <c r="AD54" i="1"/>
  <c r="AD50" i="1"/>
  <c r="AD28" i="1"/>
  <c r="P54" i="1"/>
  <c r="P78" i="1"/>
  <c r="P50" i="1"/>
  <c r="P27" i="1"/>
  <c r="P49" i="1" s="1"/>
  <c r="P53" i="1" s="1"/>
  <c r="P71" i="1" s="1"/>
  <c r="P77" i="1" s="1"/>
  <c r="P28" i="1"/>
  <c r="M78" i="1"/>
  <c r="M50" i="1"/>
  <c r="M54" i="1"/>
  <c r="M28" i="1"/>
  <c r="M27" i="1"/>
  <c r="M49" i="1" s="1"/>
  <c r="M53" i="1" s="1"/>
  <c r="M71" i="1" s="1"/>
  <c r="M77" i="1" s="1"/>
  <c r="AF54" i="1"/>
  <c r="AF78" i="1"/>
  <c r="AF50" i="1"/>
  <c r="AF28" i="1"/>
  <c r="AF27" i="1"/>
  <c r="AF49" i="1" s="1"/>
  <c r="AF53" i="1" s="1"/>
  <c r="AF71" i="1" s="1"/>
  <c r="AF77" i="1" s="1"/>
  <c r="Z78" i="1"/>
  <c r="Z50" i="1"/>
  <c r="Z27" i="1"/>
  <c r="Z49" i="1" s="1"/>
  <c r="Z53" i="1" s="1"/>
  <c r="Z71" i="1" s="1"/>
  <c r="Z77" i="1" s="1"/>
  <c r="Z54" i="1"/>
  <c r="Z28" i="1"/>
  <c r="E78" i="1"/>
  <c r="E50" i="1"/>
  <c r="E54" i="1"/>
  <c r="E27" i="1"/>
  <c r="E49" i="1" s="1"/>
  <c r="E53" i="1" s="1"/>
  <c r="E71" i="1" s="1"/>
  <c r="E77" i="1" s="1"/>
  <c r="E28" i="1"/>
  <c r="AG50" i="1"/>
  <c r="AG78" i="1"/>
  <c r="AG54" i="1"/>
  <c r="AG28" i="1"/>
  <c r="AG27" i="1"/>
  <c r="AG49" i="1" s="1"/>
  <c r="AG53" i="1" s="1"/>
  <c r="Q50" i="1"/>
  <c r="Q78" i="1"/>
  <c r="Q27" i="1"/>
  <c r="Q49" i="1" s="1"/>
  <c r="Q53" i="1" s="1"/>
  <c r="Q71" i="1" s="1"/>
  <c r="Q77" i="1" s="1"/>
  <c r="Q54" i="1"/>
  <c r="Q28" i="1"/>
  <c r="Y50" i="1"/>
  <c r="Y78" i="1"/>
  <c r="Y27" i="1"/>
  <c r="Y49" i="1" s="1"/>
  <c r="Y53" i="1" s="1"/>
  <c r="Y54" i="1"/>
  <c r="Y28" i="1"/>
  <c r="AI28" i="1"/>
  <c r="AI78" i="1"/>
  <c r="AI27" i="1"/>
  <c r="AI49" i="1" s="1"/>
  <c r="AI53" i="1" s="1"/>
  <c r="AI71" i="1" s="1"/>
  <c r="AI77" i="1" s="1"/>
  <c r="AI50" i="1"/>
  <c r="AI54" i="1"/>
  <c r="AS78" i="1"/>
  <c r="AS50" i="1"/>
  <c r="AS54" i="1"/>
  <c r="AS28" i="1"/>
  <c r="AS27" i="1"/>
  <c r="AS49" i="1" s="1"/>
  <c r="AS53" i="1" s="1"/>
  <c r="AS71" i="1" s="1"/>
  <c r="AS77" i="1" s="1"/>
  <c r="BC27" i="1"/>
  <c r="BC49" i="1" s="1"/>
  <c r="BC53" i="1" s="1"/>
  <c r="BC71" i="1" s="1"/>
  <c r="BC77" i="1" s="1"/>
  <c r="BC28" i="1"/>
  <c r="BC78" i="1"/>
  <c r="BC54" i="1"/>
  <c r="BC50" i="1"/>
  <c r="BA27" i="1"/>
  <c r="BA49" i="1" s="1"/>
  <c r="BA53" i="1" s="1"/>
  <c r="BA71" i="1" s="1"/>
  <c r="BA77" i="1" s="1"/>
  <c r="BI47" i="1"/>
  <c r="W50" i="1"/>
  <c r="AX69" i="1"/>
  <c r="U18" i="1"/>
  <c r="Z47" i="1"/>
  <c r="P62" i="1"/>
  <c r="P69" i="1" s="1"/>
  <c r="BD62" i="1"/>
  <c r="BD69" i="1" s="1"/>
  <c r="G69" i="1"/>
  <c r="O69" i="1"/>
  <c r="Y69" i="1"/>
  <c r="AG69" i="1"/>
  <c r="AP69" i="1"/>
  <c r="AM50" i="1"/>
  <c r="O50" i="1"/>
  <c r="AM27" i="1"/>
  <c r="AM49" i="1" s="1"/>
  <c r="AM53" i="1" s="1"/>
  <c r="AM71" i="1" s="1"/>
  <c r="AM77" i="1" s="1"/>
  <c r="AM28" i="1"/>
  <c r="AM78" i="1"/>
  <c r="BE27" i="1"/>
  <c r="BE49" i="1" s="1"/>
  <c r="BE53" i="1" s="1"/>
  <c r="BE71" i="1" s="1"/>
  <c r="BE77" i="1" s="1"/>
  <c r="BE28" i="1"/>
  <c r="AO47" i="1"/>
  <c r="BA78" i="1"/>
  <c r="BA50" i="1"/>
  <c r="BA54" i="1"/>
  <c r="BI18" i="1"/>
  <c r="G27" i="1"/>
  <c r="G49" i="1" s="1"/>
  <c r="G53" i="1" s="1"/>
  <c r="G71" i="1" s="1"/>
  <c r="G77" i="1" s="1"/>
  <c r="G28" i="1"/>
  <c r="G78" i="1"/>
  <c r="O27" i="1"/>
  <c r="O49" i="1" s="1"/>
  <c r="O53" i="1" s="1"/>
  <c r="O71" i="1" s="1"/>
  <c r="O77" i="1" s="1"/>
  <c r="O28" i="1"/>
  <c r="O78" i="1"/>
  <c r="W27" i="1"/>
  <c r="W49" i="1" s="1"/>
  <c r="W53" i="1" s="1"/>
  <c r="W28" i="1"/>
  <c r="W78" i="1"/>
  <c r="AU27" i="1"/>
  <c r="AU49" i="1" s="1"/>
  <c r="AU53" i="1" s="1"/>
  <c r="AU71" i="1" s="1"/>
  <c r="AU77" i="1" s="1"/>
  <c r="AU28" i="1"/>
  <c r="AU78" i="1"/>
  <c r="AJ62" i="1"/>
  <c r="U62" i="1"/>
  <c r="BI62" i="1"/>
  <c r="BI69" i="1" s="1"/>
  <c r="BE50" i="1"/>
  <c r="BE78" i="1"/>
  <c r="AY25" i="1"/>
  <c r="G50" i="1"/>
  <c r="G54" i="1"/>
  <c r="AM69" i="1"/>
  <c r="K25" i="1"/>
  <c r="AU50" i="1"/>
  <c r="AU54" i="1"/>
  <c r="W69" i="1"/>
  <c r="AW69" i="1"/>
  <c r="AJ68" i="1"/>
  <c r="U68" i="1"/>
  <c r="BI68" i="1"/>
  <c r="U27" i="1" l="1"/>
  <c r="U49" i="1" s="1"/>
  <c r="U53" i="1" s="1"/>
  <c r="U71" i="1" s="1"/>
  <c r="U77" i="1" s="1"/>
  <c r="U78" i="1" s="1"/>
  <c r="AO50" i="1"/>
  <c r="AO78" i="1"/>
  <c r="AO27" i="1"/>
  <c r="AO49" i="1" s="1"/>
  <c r="AO53" i="1" s="1"/>
  <c r="AO71" i="1" s="1"/>
  <c r="AO77" i="1" s="1"/>
  <c r="AO54" i="1"/>
  <c r="AO28" i="1"/>
  <c r="F50" i="1"/>
  <c r="C50" i="1"/>
  <c r="F54" i="1"/>
  <c r="C54" i="1"/>
  <c r="AT78" i="1"/>
  <c r="AT54" i="1"/>
  <c r="AT50" i="1"/>
  <c r="AT28" i="1"/>
  <c r="AT27" i="1"/>
  <c r="AT49" i="1" s="1"/>
  <c r="AT53" i="1" s="1"/>
  <c r="AT71" i="1" s="1"/>
  <c r="AT77" i="1" s="1"/>
  <c r="AE27" i="1"/>
  <c r="AE49" i="1" s="1"/>
  <c r="AE53" i="1" s="1"/>
  <c r="AE71" i="1" s="1"/>
  <c r="AE77" i="1" s="1"/>
  <c r="AE28" i="1"/>
  <c r="AE78" i="1"/>
  <c r="AE54" i="1"/>
  <c r="AE50" i="1"/>
  <c r="U69" i="1"/>
  <c r="Y71" i="1"/>
  <c r="Y77" i="1" s="1"/>
  <c r="AG71" i="1"/>
  <c r="AG77" i="1" s="1"/>
  <c r="D50" i="1"/>
  <c r="BD71" i="1"/>
  <c r="BD77" i="1" s="1"/>
  <c r="BI78" i="1"/>
  <c r="BI50" i="1"/>
  <c r="BI54" i="1"/>
  <c r="BI28" i="1"/>
  <c r="BI27" i="1"/>
  <c r="BI49" i="1" s="1"/>
  <c r="BI53" i="1" s="1"/>
  <c r="BI71" i="1" s="1"/>
  <c r="BI77" i="1" s="1"/>
  <c r="W71" i="1"/>
  <c r="W77" i="1" s="1"/>
  <c r="AX71" i="1"/>
  <c r="AX77" i="1" s="1"/>
  <c r="C28" i="1"/>
  <c r="AJ69" i="1"/>
  <c r="AJ71" i="1" s="1"/>
  <c r="AJ77" i="1" s="1"/>
  <c r="B54" i="1"/>
  <c r="F28" i="1"/>
  <c r="AP71" i="1"/>
  <c r="AP77" i="1" s="1"/>
  <c r="U28" i="1" l="1"/>
  <c r="U50" i="1"/>
  <c r="U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7" authorId="0" shapeId="0" xr:uid="{00000000-0006-0000-0000-000001000000}">
      <text>
        <r>
          <rPr>
            <sz val="10"/>
            <rFont val="Arial"/>
            <family val="2"/>
          </rPr>
          <t>Faturamento marketplace consolidado dos extratos.</t>
        </r>
      </text>
    </comment>
    <comment ref="U8" authorId="0" shapeId="0" xr:uid="{00000000-0006-0000-0000-000002000000}">
      <text>
        <r>
          <rPr>
            <sz val="10"/>
            <rFont val="Arial"/>
            <family val="2"/>
          </rPr>
          <t>Vendas de Atacado Abril/2026 — composição: (a) R$ 14.000,00 — faturamento atacado consolidado (canal); (b) R$ 6.049,30 — vendas avulsas Daniel/Ana registradas em folha manuscrita; (c) R$ 500,00 — anotação 'Dinheiro' da folha (confirmado como venda Abril em 06/05/2026). Detalhe Daniel: 10/4 R$ 480,00 + 10/4 R$ 417,50 + 15/4 R$ 1.360,80 + 22/4 R$ 2.396,00 = R$ 4.654,30. Detalhe Ana (redinha): 16/4 R$ 930,00 + 28/4 R$ 465,00 = R$ 1.395,00. CMV correspondente NÃO precisa de ajuste — confirmado pelo Pedro em 06/05/2026.</t>
        </r>
      </text>
    </comment>
    <comment ref="U13" authorId="0" shapeId="0" xr:uid="{00000000-0006-0000-0000-000003000000}">
      <text>
        <r>
          <rPr>
            <sz val="10"/>
            <rFont val="Arial"/>
            <family val="2"/>
          </rPr>
          <t>Impostos sobre vendas estimados em 7% da Receita Bruta (U10). Premissa gerencial — ajustar quando vier a apuração contábil real (Simples/PIS/COFINS/ICMS conforme regime).</t>
        </r>
      </text>
    </comment>
    <comment ref="U14" authorId="0" shapeId="0" xr:uid="{00000000-0006-0000-0000-000004000000}">
      <text>
        <r>
          <rPr>
            <sz val="10"/>
            <rFont val="Arial"/>
            <family val="2"/>
          </rPr>
          <t>Devoluções pós-recebimento (categoria C) consolidadas Abril/2026 — apuração revisada Kobe/Openclaw (04/05/2026). Composição: ML R$ 988,11 + Shopee R$ 0,00 + Amazon R$ 1.528,39. Taxa real consolidada = 0,62%. Revisão crítica do número anterior (13,3%): primeira apuração misturava cancelamento pré-envio com devolução real, gerando dupla contagem (faturamento bruto do BI já é pós-cancelamento). Cancelamento pré-envio (R$ 49.914,57 no consolidado) NÃO entra no DRE. Versão conservadora com pós-envio/em trânsito do ML subiria só para 0,70%.</t>
        </r>
      </text>
    </comment>
    <comment ref="U15" authorId="0" shapeId="0" xr:uid="{00000000-0006-0000-0000-000005000000}">
      <text>
        <r>
          <rPr>
            <sz val="10"/>
            <rFont val="Arial"/>
            <family val="2"/>
          </rPr>
          <t>Descontos concedidos Abril/2026 — apuração final Kobe/Openclaw (06/05/2026). Critério: vouchers/cupons aplicados pelo cliente após preço efetivo (pós-receita). Composição: ML R$ 5.061,14 (4,19%) + Shopee R$ 0,00 + Amazon R$ 0,00 = R$ 5.061,14 (1,25% sobre marketplace). Notas: Shopee seller_voucher zerado no mês; coins R$ 582,87 ficaram fora do DRE por critério (não é desconto bancado pelo seller). Amazon teve apenas promoção de frete, não desconto de item. Critério revisado em ciclo crítico: primeira hipótese inflada (R$ 68.776,59) descartada por dupla contagem com preço promocional já absorvido em U7.</t>
        </r>
      </text>
    </comment>
    <comment ref="U18" authorId="0" shapeId="0" xr:uid="{00000000-0006-0000-0000-000006000000}">
      <text>
        <r>
          <rPr>
            <sz val="10"/>
            <rFont val="Arial"/>
            <family val="2"/>
          </rPr>
          <t>Provisória: impostos, devoluções e descontos contábeis ainda não separados (U13:U15 pendentes).</t>
        </r>
      </text>
    </comment>
    <comment ref="U21" authorId="0" shapeId="0" xr:uid="{00000000-0006-0000-0000-000007000000}">
      <text>
        <r>
          <rPr>
            <sz val="10"/>
            <rFont val="Arial"/>
            <family val="2"/>
          </rPr>
          <t>CMV consolidado do BI Abril/2026 — R$ 180.604,12. Ajuste para vendas avulsas Daniel/Ana (R$ 6.549,30 em U8) NÃO será aplicado — validado pelo Pedro em 06/05/2026 que essas vendas não exigem ajuste de CMV (provavelmente já cobertas pelo BI ou têm tratamento gerencial à parte). Item fechado.</t>
        </r>
      </text>
    </comment>
    <comment ref="U24" authorId="0" shapeId="0" xr:uid="{00000000-0006-0000-0000-000008000000}">
      <text>
        <r>
          <rPr>
            <sz val="10"/>
            <rFont val="Arial"/>
            <family val="2"/>
          </rPr>
          <t>Insumos de embalagem/expedição Abril/2026. Composição: Caixas R$ 13.317,00 + Waiselli (papel seda) R$ 880,00 + Etiquetas adesivas R$ 779,80 + Cuidado Frágil R$ 928,00 = R$ 15.904,80. Classificação: custo variável direto (proporcional ao volume de pedidos). Se preferir tratar como despesa operacional, mover para linha após U27.</t>
        </r>
      </text>
    </comment>
    <comment ref="U32" authorId="0" shapeId="0" xr:uid="{00000000-0006-0000-0000-000009000000}">
      <text>
        <r>
          <rPr>
            <sz val="10"/>
            <rFont val="Arial"/>
            <family val="2"/>
          </rPr>
          <t>Folha de pagamento Abril/2026 — valor confirmado pelo financeiro (regime de competência). Inclui salários administrativos + encargos (INSS, FGTS, provisões). Queda de ~31% versus média Jan-Mar (~R$ 23.588,76) explicada por desligamentos no quadro. Novo patamar de folha esperado a partir de Abril/2026.</t>
        </r>
      </text>
    </comment>
    <comment ref="U33" authorId="0" shapeId="0" xr:uid="{00000000-0006-0000-0000-00000A000000}">
      <text>
        <r>
          <rPr>
            <sz val="10"/>
            <rFont val="Arial"/>
            <family val="2"/>
          </rPr>
          <t>Contas de consumo Abril/2026. Composição: Energia R$ 1.062,53 + Internet R$ 136,09 + Vivo Móvel (12 linhas) R$ 887,59 = R$ 2.086,21. Água não informada — verificar se está zerada ou pendente.</t>
        </r>
      </text>
    </comment>
    <comment ref="U34" authorId="0" shapeId="0" xr:uid="{00000000-0006-0000-0000-00000B000000}">
      <text>
        <r>
          <rPr>
            <sz val="10"/>
            <rFont val="Arial"/>
            <family val="2"/>
          </rPr>
          <t>Custo Himmel / agência de Ads.</t>
        </r>
      </text>
    </comment>
    <comment ref="U35" authorId="0" shapeId="0" xr:uid="{00000000-0006-0000-0000-00000C000000}">
      <text>
        <r>
          <rPr>
            <sz val="10"/>
            <rFont val="Arial"/>
            <family val="2"/>
          </rPr>
          <t>Software/Sistemas empresarial Abril/2026 — soma dos 2 cartões corporativos. Cartão 1: R$ 4.375,42 + Cartão 2: R$ 1.139,37 = R$ 5.514,79. Fonte: relatórios financeiros gerados em 03/05/2026.</t>
        </r>
      </text>
    </comment>
    <comment ref="U36" authorId="0" shapeId="0" xr:uid="{00000000-0006-0000-0000-00000D000000}">
      <text>
        <r>
          <rPr>
            <sz val="10"/>
            <rFont val="Arial"/>
            <family val="2"/>
          </rPr>
          <t>Material de escritório Abril/2026. JR Print R$ 58,00.</t>
        </r>
      </text>
    </comment>
    <comment ref="U37" authorId="0" shapeId="0" xr:uid="{00000000-0006-0000-0000-00000E000000}">
      <text>
        <r>
          <rPr>
            <sz val="10"/>
            <rFont val="Arial"/>
            <family val="2"/>
          </rPr>
          <t>Manutenção e Reparos Abril/2026: confirmado R$ 0,00 (sem ocorrências no mês). Validado em 06/05/2026 — não está pendente, está fechado em zero.</t>
        </r>
      </text>
    </comment>
    <comment ref="U39" authorId="0" shapeId="0" xr:uid="{00000000-0006-0000-0000-00000F000000}">
      <text>
        <r>
          <rPr>
            <sz val="10"/>
            <rFont val="Arial"/>
            <family val="2"/>
          </rPr>
          <t>Comissões de vendas Atacado Abril/2026: confirmado R$ 0,00 (sem comissionamento no canal atacado neste mês). Validado em 06/05/2026 — não está pendente, está fechado em zero.</t>
        </r>
      </text>
    </comment>
    <comment ref="U41" authorId="0" shapeId="0" xr:uid="{00000000-0006-0000-0000-000010000000}">
      <text>
        <r>
          <rPr>
            <sz val="10"/>
            <color rgb="FF000000"/>
            <rFont val="Arial"/>
            <family val="2"/>
          </rPr>
          <t>Marketing/Publicidade empresarial Abril/2026 — soma dos 2 cartões corporativos. Cartão 1: R$ 304,90 + Cartão 2: R$ 0,00 = R$ 304,90. Classificado como 'Atacado' por exclusão (Mkt Marketplace já está em U42 com R$ 17.380,39 de Ads). Validar se é mesmo gasto vinculado ao canal atacado ou se deveria ir em outra linha.</t>
        </r>
      </text>
    </comment>
    <comment ref="U42" authorId="0" shapeId="0" xr:uid="{00000000-0006-0000-0000-000011000000}">
      <text>
        <r>
          <rPr>
            <sz val="10"/>
            <color rgb="FF000000"/>
            <rFont val="Arial"/>
            <family val="2"/>
          </rPr>
          <t>Composição: ML Ads 5.441,44 + Shopee Ads 9.460,00 + Amazon Ads API 2.478,95.</t>
        </r>
      </text>
    </comment>
    <comment ref="U43" authorId="0" shapeId="0" xr:uid="{00000000-0006-0000-0000-000012000000}">
      <text>
        <r>
          <rPr>
            <sz val="10"/>
            <rFont val="Arial"/>
            <family val="2"/>
          </rPr>
          <t>Taxas de Cartão Abril/2026: confirmado R$ 0,00 (sem vendas via adquirência fora dos marketplaces neste mês). Validado em 06/05/2026 — não está pendente, está fechado em zero.</t>
        </r>
      </text>
    </comment>
    <comment ref="U44" authorId="0" shapeId="0" xr:uid="{00000000-0006-0000-0000-000013000000}">
      <text>
        <r>
          <rPr>
            <sz val="10"/>
            <rFont val="Arial"/>
            <family val="2"/>
          </rPr>
          <t>Taxas de Marketplace (consolidado ML+Shopee+Amazon) Abril/2026 — versão v3 ajustada (05/05/2026). Original do extrato: R$ 117.670,43. Ajuste -R$ 2.138,75 (vendas pendentes ML reclassificadas). Quebra v4 limpa do Kobe (06/05/2026) — registrada aqui mas não estruturada em duas linhas para preservar a estrutura visual do DRE: (A) U44 LIMPA — R$ 109.236,70: ML R$ 41.539,31 + Shopee R$ 60.132,34 + Amazon R$ 7.565,05. (B) OUTRAS TAXAS MARKETPLACE (não estruturada) — R$ 6.294,98: ML R$ 6.156,26 (disputas, cancelamentos, taxas de reembolso) + Amazon R$ 138,72 (reconciliação) + Shopee R$ 0,00. Total agregado mantido: R$ 115.531,68. EBITDA não alterado pela v4 (só reorganização gerencial). Para implementar v4 estruturalmente é necessário adicionar linha nova ao plano de contas.</t>
        </r>
      </text>
    </comment>
    <comment ref="U45" authorId="0" shapeId="0" xr:uid="{00000000-0006-0000-0000-000014000000}">
      <text>
        <r>
          <rPr>
            <sz val="10"/>
            <rFont val="Arial"/>
            <family val="2"/>
          </rPr>
          <t>Frete de Atacado Abril/2026: confirmado R$ 0,00 (sem custo de frete atacado neste mês — possivelmente entregas com frete por conta do cliente ou retirada). Validado em 06/05/2026 — não está pendente, está fechado em zero.</t>
        </r>
      </text>
    </comment>
    <comment ref="U51" authorId="0" shapeId="0" xr:uid="{00000000-0006-0000-0000-000015000000}">
      <text>
        <r>
          <rPr>
            <sz val="10"/>
            <rFont val="Arial"/>
            <family val="2"/>
          </rPr>
          <t>Depreciação Abril/2026: confirmado R$ 0,00 (sem depreciação registrada neste mês). Validado em 06/05/2026 — não está pendente, está fechado em zero.</t>
        </r>
      </text>
    </comment>
    <comment ref="U71" authorId="0" shapeId="0" xr:uid="{00000000-0006-0000-0000-000016000000}">
      <text>
        <r>
          <rPr>
            <sz val="10"/>
            <color rgb="FF000000"/>
            <rFont val="Arial"/>
            <family val="2"/>
          </rPr>
          <t>Provisório: resultado financeiro (U58:U61, U64:U67) ainda não coletado.</t>
        </r>
      </text>
    </comment>
    <comment ref="U77" authorId="0" shapeId="0" xr:uid="{00000000-0006-0000-0000-000017000000}">
      <text>
        <r>
          <rPr>
            <sz val="10"/>
            <rFont val="Arial"/>
            <family val="2"/>
          </rPr>
          <t>GERENCIAL/PROVISÓRIO — não é lucro líquido contábil final. Pendentes (apenas dados internos): amortização (U52), resultado financeiro (U58:U68), IRPJ/CSLL (U74). Premissas em uso: impostos sobre vendas a 7% (U13), devoluções pós-recebimento a 0,62% sobre marketplace (U14). Itens fechados: descontos (U15 = R$ 5.061,14, Kobe), consumo (U33), material escritório (U36), manutenção (U37=0), insumos embalagem (U24), comissões atacado (U39=0), taxas cartão (U43=0), frete atacado (U45=0), depreciação (U51=0), CMV vendas avulsas sem ajuste (U21). U44 v4 detalhada na nota da célula — implementação estrutural pendente.</t>
        </r>
      </text>
    </comment>
  </commentList>
</comments>
</file>

<file path=xl/sharedStrings.xml><?xml version="1.0" encoding="utf-8"?>
<sst xmlns="http://schemas.openxmlformats.org/spreadsheetml/2006/main" count="137" uniqueCount="82">
  <si>
    <t>DEMONSTRATIVO DE RESULTADO DO EXERCÍCIO - GB IMPORTADORA</t>
  </si>
  <si>
    <t>Controle Mensal, Semanal e Diário - Exercício 2026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</si>
  <si>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</si>
  <si>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</si>
  <si>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</si>
  <si>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</si>
  <si>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</si>
  <si>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</si>
  <si>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</si>
  <si>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</si>
  <si>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</si>
  <si>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</si>
  <si>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</si>
  <si>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</si>
  <si>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 1</t>
  </si>
  <si>
    <t>Sem 2</t>
  </si>
  <si>
    <t>Sem 3</t>
  </si>
  <si>
    <t>Sem 4</t>
  </si>
  <si>
    <t>Total Mês</t>
  </si>
  <si>
    <t>RECEITA OPERACIONAL BRUTA</t>
  </si>
  <si>
    <t>Vendas de Marketplace</t>
  </si>
  <si>
    <t>Vendas de Atacado</t>
  </si>
  <si>
    <t>Outras Receitas Operacionais</t>
  </si>
  <si>
    <t>TOTAL RECEITA BRUTA</t>
  </si>
  <si>
    <t>DEDUÇÕES DA RECEITA BRUTA</t>
  </si>
  <si>
    <t>(-) Impostos sobre Vendas</t>
  </si>
  <si>
    <t>(-) Devoluções e Cancelamentos</t>
  </si>
  <si>
    <t>(-) Descontos Concedidos</t>
  </si>
  <si>
    <t>TOTAL DEDUÇÕES</t>
  </si>
  <si>
    <t>RECEITA OPERACIONAL LÍQUIDA</t>
  </si>
  <si>
    <t>CUSTO DAS MERCADORIAS VENDIDAS (CMV)</t>
  </si>
  <si>
    <t>(-) Custo das Mercadorias</t>
  </si>
  <si>
    <t>(-) Custo de Importação</t>
  </si>
  <si>
    <t>(-) Fretes e Seguros</t>
  </si>
  <si>
    <t>(-) Outros Custos Diretos</t>
  </si>
  <si>
    <t>TOTAL CMV</t>
  </si>
  <si>
    <t>LUCRO BRUTO</t>
  </si>
  <si>
    <t>MARGEM BRUTA (%)</t>
  </si>
  <si>
    <t>DESPESAS OPERACIONAIS</t>
  </si>
  <si>
    <t>Despesas Administrativas</t>
  </si>
  <si>
    <t>(-) Salários Administrativos + Encargos</t>
  </si>
  <si>
    <t>(-) Energia, Água, Internet, Telefone</t>
  </si>
  <si>
    <t>(-) Serviços Terceirizados</t>
  </si>
  <si>
    <t>(-) Software e Licenças</t>
  </si>
  <si>
    <t>(-) Material de Escritório</t>
  </si>
  <si>
    <t>(-) Manutenção e Reparos</t>
  </si>
  <si>
    <t>Despesas Comerciais</t>
  </si>
  <si>
    <t>(-) Comissões de vendas Atacado</t>
  </si>
  <si>
    <t>(-) Comissões de vendas Marketplace</t>
  </si>
  <si>
    <t>(-) Marketing e Publicidade Atacado</t>
  </si>
  <si>
    <t>(-) Marketing e Publicidade Marketplace</t>
  </si>
  <si>
    <t>(-) Taxas de Cartão</t>
  </si>
  <si>
    <t>(-) Taxas de Marketplace</t>
  </si>
  <si>
    <t>(-) Frete de Atacado</t>
  </si>
  <si>
    <t>(-) Frete de Marketplace</t>
  </si>
  <si>
    <t>TOTAL DESPESAS OPERACIONAIS</t>
  </si>
  <si>
    <t>EBITDA</t>
  </si>
  <si>
    <t>MARGEM EBITDA (%)</t>
  </si>
  <si>
    <t>(-) Depreciação</t>
  </si>
  <si>
    <t>(-) Amortização</t>
  </si>
  <si>
    <t>LUCRO OPERACIONAL (EBIT)</t>
  </si>
  <si>
    <t>MARGEM OPERACIONAL (%)</t>
  </si>
  <si>
    <t>RESULTADO FINANCEIRO</t>
  </si>
  <si>
    <t>Receitas Financeiras</t>
  </si>
  <si>
    <t>(+) Juros Recebidos</t>
  </si>
  <si>
    <t>(+) Rendimentos de Aplicações</t>
  </si>
  <si>
    <t>(+) Descontos Obtidos</t>
  </si>
  <si>
    <t>(+) Outras Receitas Financeiras</t>
  </si>
  <si>
    <t>Total Receitas Financeiras</t>
  </si>
  <si>
    <t>Despesas Financeiras</t>
  </si>
  <si>
    <t>(-) Juros de Empréstimos/Financiamentos</t>
  </si>
  <si>
    <t>(-) Taxas Bancárias</t>
  </si>
  <si>
    <t>(-) IOF</t>
  </si>
  <si>
    <t>(-) Tarifas de Conta Corrente</t>
  </si>
  <si>
    <t>Total Despesas Financeiras</t>
  </si>
  <si>
    <t>RESULTADO FINANCEIRO LÍQUIDO</t>
  </si>
  <si>
    <t>LUCRO ANTES DO IR/CSLL (LAIR)</t>
  </si>
  <si>
    <t>PROVISÕES TRIBUTÁRIAS</t>
  </si>
  <si>
    <t>(-) IRPJ + CSLL</t>
  </si>
  <si>
    <t>TOTAL PROVISÕES</t>
  </si>
  <si>
    <t>LUCRO LÍQUIDO</t>
  </si>
  <si>
    <t>MARGEM LÍQUIDA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</si>
</sst>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6"/>
      <color theme="0"/>
      <name val="Calibri (Corpo)"/>
      <charset val="1"/>
    </font>
    <font>
      <sz val="11"/>
      <color theme="0"/>
      <name val="Calibri (Corpo)"/>
      <charset val="1"/>
    </font>
    <font>
      <b/>
      <sz val="14"/>
      <color rgb="FF000000"/>
      <name val="Calibri"/>
      <family val="2"/>
      <charset val="1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4F4F"/>
        <bgColor rgb="FF2F4E4E"/>
      </patternFill>
    </fill>
    <fill>
      <patternFill patternType="solid">
        <fgColor rgb="FF2F4E4E"/>
        <bgColor rgb="FF2F4F4F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F5F5F5"/>
      </patternFill>
    </fill>
    <fill>
      <patternFill patternType="solid">
        <fgColor rgb="FF3D5C5C"/>
        <bgColor rgb="FF2F4F4F"/>
      </patternFill>
    </fill>
    <fill>
      <patternFill patternType="solid">
        <fgColor rgb="FF00632D"/>
        <bgColor rgb="FF2F4F4F"/>
      </patternFill>
    </fill>
    <fill>
      <patternFill patternType="solid">
        <fgColor rgb="FF00B452"/>
        <bgColor rgb="FF008080"/>
      </patternFill>
    </fill>
    <fill>
      <patternFill patternType="solid">
        <fgColor rgb="FFF1C232"/>
        <bgColor rgb="FFFFCC99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8" fillId="5" borderId="1" xfId="0" applyFont="1" applyFill="1" applyBorder="1" applyAlignment="1">
      <alignment vertical="center"/>
    </xf>
    <xf numFmtId="4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9" fillId="3" borderId="1" xfId="0" applyFont="1" applyFill="1" applyBorder="1" applyAlignment="1">
      <alignment vertical="center"/>
    </xf>
    <xf numFmtId="4" fontId="10" fillId="3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9" fillId="7" borderId="1" xfId="0" applyFont="1" applyFill="1" applyBorder="1" applyAlignment="1">
      <alignment vertical="center"/>
    </xf>
    <xf numFmtId="4" fontId="10" fillId="7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vertical="center"/>
    </xf>
    <xf numFmtId="164" fontId="0" fillId="8" borderId="1" xfId="0" applyNumberForma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0" fillId="9" borderId="1" xfId="0" applyFill="1" applyBorder="1" applyAlignment="1">
      <alignment horizontal="right" vertical="center"/>
    </xf>
    <xf numFmtId="0" fontId="8" fillId="10" borderId="1" xfId="0" applyFont="1" applyFill="1" applyBorder="1" applyAlignment="1">
      <alignment vertical="center"/>
    </xf>
    <xf numFmtId="4" fontId="0" fillId="10" borderId="1" xfId="0" applyNumberFormat="1" applyFill="1" applyBorder="1" applyAlignment="1">
      <alignment horizontal="right" vertical="center"/>
    </xf>
    <xf numFmtId="0" fontId="8" fillId="9" borderId="1" xfId="0" applyFont="1" applyFill="1" applyBorder="1" applyAlignment="1">
      <alignment vertical="center"/>
    </xf>
    <xf numFmtId="4" fontId="0" fillId="9" borderId="1" xfId="0" applyNumberFormat="1" applyFill="1" applyBorder="1" applyAlignment="1">
      <alignment horizontal="right" vertical="center"/>
    </xf>
    <xf numFmtId="0" fontId="8" fillId="11" borderId="1" xfId="0" applyFont="1" applyFill="1" applyBorder="1" applyAlignment="1">
      <alignment vertical="center"/>
    </xf>
    <xf numFmtId="4" fontId="0" fillId="11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32D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232"/>
      <rgbColor rgb="FFFF9900"/>
      <rgbColor rgb="FFFF6600"/>
      <rgbColor rgb="FF3D5C5C"/>
      <rgbColor rgb="FF969696"/>
      <rgbColor rgb="FF003366"/>
      <rgbColor rgb="FF00B452"/>
      <rgbColor rgb="FF003300"/>
      <rgbColor rgb="FF333300"/>
      <rgbColor rgb="FF993300"/>
      <rgbColor rgb="FF993366"/>
      <rgbColor rgb="FF2F4F4F"/>
      <rgbColor rgb="FF2F4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8"/>
  <sheetViews>
    <sheetView tabSelected="1" zoomScaleNormal="100" workbookViewId="0">
      <selection activeCell="F35" sqref="F35"/>
    </sheetView>
  </sheetViews>
  <sheetFormatPr baseColWidth="10" defaultColWidth="8.83203125" defaultRowHeight="15" x14ac:dyDescent="0.2"/>
  <cols>
    <col min="1" max="1" width="45" customWidth="1"/>
    <col min="2" max="61" width="12" customWidth="1"/>
  </cols>
  <sheetData>
    <row r="1" spans="1:61" ht="21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18.75" customHeight="1" x14ac:dyDescent="0.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15.75" customHeight="1" x14ac:dyDescent="0.2">
      <c r="A3" s="5"/>
      <c r="B3" s="1" t="s">
        <v>2</v>
      </c>
      <c r="C3" s="1"/>
      <c r="D3" s="1"/>
      <c r="E3" s="1"/>
      <c r="F3" s="1"/>
      <c r="G3" s="1" t="s">
        <v>3</v>
      </c>
      <c r="H3" s="1"/>
      <c r="I3" s="1"/>
      <c r="J3" s="1"/>
      <c r="K3" s="1"/>
      <c r="L3" s="1" t="s">
        <v>4</v>
      </c>
      <c r="M3" s="1"/>
      <c r="N3" s="1"/>
      <c r="O3" s="1"/>
      <c r="P3" s="1"/>
      <c r="Q3" s="1" t="s">
        <v>5</v>
      </c>
      <c r="R3" s="1"/>
      <c r="S3" s="1"/>
      <c r="T3" s="1"/>
      <c r="U3" s="1"/>
      <c r="V3" s="1" t="s">
        <v>6</v>
      </c>
      <c r="W3" s="1"/>
      <c r="X3" s="1"/>
      <c r="Y3" s="1"/>
      <c r="Z3" s="1"/>
      <c r="AA3" s="1" t="s">
        <v>7</v>
      </c>
      <c r="AB3" s="1"/>
      <c r="AC3" s="1"/>
      <c r="AD3" s="1"/>
      <c r="AE3" s="1"/>
      <c r="AF3" s="1" t="s">
        <v>8</v>
      </c>
      <c r="AG3" s="1"/>
      <c r="AH3" s="1"/>
      <c r="AI3" s="1"/>
      <c r="AJ3" s="1"/>
      <c r="AK3" s="1" t="s">
        <v>9</v>
      </c>
      <c r="AL3" s="1"/>
      <c r="AM3" s="1"/>
      <c r="AN3" s="1"/>
      <c r="AO3" s="1"/>
      <c r="AP3" s="1" t="s">
        <v>10</v>
      </c>
      <c r="AQ3" s="1"/>
      <c r="AR3" s="1"/>
      <c r="AS3" s="1"/>
      <c r="AT3" s="1"/>
      <c r="AU3" s="1" t="s">
        <v>11</v>
      </c>
      <c r="AV3" s="1"/>
      <c r="AW3" s="1"/>
      <c r="AX3" s="1"/>
      <c r="AY3" s="1"/>
      <c r="AZ3" s="1" t="s">
        <v>12</v>
      </c>
      <c r="BA3" s="1"/>
      <c r="BB3" s="1"/>
      <c r="BC3" s="1"/>
      <c r="BD3" s="1"/>
      <c r="BE3" s="1" t="s">
        <v>13</v>
      </c>
      <c r="BF3" s="1"/>
      <c r="BG3" s="1"/>
      <c r="BH3" s="1"/>
      <c r="BI3" s="1"/>
    </row>
    <row r="4" spans="1:61" ht="15" customHeight="1" x14ac:dyDescent="0.2">
      <c r="A4" s="5"/>
      <c r="B4" s="6" t="s">
        <v>14</v>
      </c>
      <c r="C4" s="6" t="s">
        <v>15</v>
      </c>
      <c r="D4" s="6" t="s">
        <v>16</v>
      </c>
      <c r="E4" s="6" t="s">
        <v>17</v>
      </c>
      <c r="F4" s="7" t="s">
        <v>18</v>
      </c>
      <c r="G4" s="6" t="s">
        <v>14</v>
      </c>
      <c r="H4" s="6" t="s">
        <v>15</v>
      </c>
      <c r="I4" s="6" t="s">
        <v>16</v>
      </c>
      <c r="J4" s="6" t="s">
        <v>17</v>
      </c>
      <c r="K4" s="7" t="s">
        <v>18</v>
      </c>
      <c r="L4" s="6" t="s">
        <v>14</v>
      </c>
      <c r="M4" s="6" t="s">
        <v>15</v>
      </c>
      <c r="N4" s="6" t="s">
        <v>16</v>
      </c>
      <c r="O4" s="6" t="s">
        <v>17</v>
      </c>
      <c r="P4" s="7" t="s">
        <v>18</v>
      </c>
      <c r="Q4" s="6" t="s">
        <v>14</v>
      </c>
      <c r="R4" s="6" t="s">
        <v>15</v>
      </c>
      <c r="S4" s="6" t="s">
        <v>16</v>
      </c>
      <c r="T4" s="6" t="s">
        <v>17</v>
      </c>
      <c r="U4" s="7" t="s">
        <v>18</v>
      </c>
      <c r="V4" s="6" t="s">
        <v>14</v>
      </c>
      <c r="W4" s="6" t="s">
        <v>15</v>
      </c>
      <c r="X4" s="6" t="s">
        <v>16</v>
      </c>
      <c r="Y4" s="6" t="s">
        <v>17</v>
      </c>
      <c r="Z4" s="7" t="s">
        <v>18</v>
      </c>
      <c r="AA4" s="6" t="s">
        <v>14</v>
      </c>
      <c r="AB4" s="6" t="s">
        <v>15</v>
      </c>
      <c r="AC4" s="6" t="s">
        <v>16</v>
      </c>
      <c r="AD4" s="6" t="s">
        <v>17</v>
      </c>
      <c r="AE4" s="7" t="s">
        <v>18</v>
      </c>
      <c r="AF4" s="6" t="s">
        <v>14</v>
      </c>
      <c r="AG4" s="6" t="s">
        <v>15</v>
      </c>
      <c r="AH4" s="6" t="s">
        <v>16</v>
      </c>
      <c r="AI4" s="6" t="s">
        <v>17</v>
      </c>
      <c r="AJ4" s="7" t="s">
        <v>18</v>
      </c>
      <c r="AK4" s="6" t="s">
        <v>14</v>
      </c>
      <c r="AL4" s="6" t="s">
        <v>15</v>
      </c>
      <c r="AM4" s="6" t="s">
        <v>16</v>
      </c>
      <c r="AN4" s="6" t="s">
        <v>17</v>
      </c>
      <c r="AO4" s="7" t="s">
        <v>18</v>
      </c>
      <c r="AP4" s="6" t="s">
        <v>14</v>
      </c>
      <c r="AQ4" s="6" t="s">
        <v>15</v>
      </c>
      <c r="AR4" s="6" t="s">
        <v>16</v>
      </c>
      <c r="AS4" s="6" t="s">
        <v>17</v>
      </c>
      <c r="AT4" s="7" t="s">
        <v>18</v>
      </c>
      <c r="AU4" s="6" t="s">
        <v>14</v>
      </c>
      <c r="AV4" s="6" t="s">
        <v>15</v>
      </c>
      <c r="AW4" s="6" t="s">
        <v>16</v>
      </c>
      <c r="AX4" s="6" t="s">
        <v>17</v>
      </c>
      <c r="AY4" s="7" t="s">
        <v>18</v>
      </c>
      <c r="AZ4" s="6" t="s">
        <v>14</v>
      </c>
      <c r="BA4" s="6" t="s">
        <v>15</v>
      </c>
      <c r="BB4" s="6" t="s">
        <v>16</v>
      </c>
      <c r="BC4" s="6" t="s">
        <v>17</v>
      </c>
      <c r="BD4" s="7" t="s">
        <v>18</v>
      </c>
      <c r="BE4" s="6" t="s">
        <v>14</v>
      </c>
      <c r="BF4" s="6" t="s">
        <v>15</v>
      </c>
      <c r="BG4" s="6" t="s">
        <v>16</v>
      </c>
      <c r="BH4" s="6" t="s">
        <v>17</v>
      </c>
      <c r="BI4" s="7" t="s">
        <v>18</v>
      </c>
    </row>
    <row r="5" spans="1:61" ht="15" customHeight="1" x14ac:dyDescent="0.2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1" ht="18.75" customHeight="1" x14ac:dyDescent="0.2">
      <c r="A6" s="9" t="s">
        <v>19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7" spans="1:61" ht="15" customHeight="1" x14ac:dyDescent="0.2">
      <c r="A7" s="11" t="s">
        <v>20</v>
      </c>
      <c r="B7" s="12">
        <v>34763.199999999997</v>
      </c>
      <c r="C7" s="12">
        <v>44738.22</v>
      </c>
      <c r="D7" s="12">
        <v>49487.98</v>
      </c>
      <c r="E7" s="12"/>
      <c r="F7" s="12">
        <v>198039.47</v>
      </c>
      <c r="G7" s="12"/>
      <c r="H7" s="12"/>
      <c r="I7" s="12"/>
      <c r="J7" s="12"/>
      <c r="K7" s="12">
        <f>SUM(G7:J7)</f>
        <v>0</v>
      </c>
      <c r="L7" s="12"/>
      <c r="M7" s="12"/>
      <c r="N7" s="12"/>
      <c r="O7" s="12"/>
      <c r="P7" s="12">
        <f>SUM(L7:O7)</f>
        <v>0</v>
      </c>
      <c r="Q7" s="12"/>
      <c r="R7" s="12"/>
      <c r="S7" s="12"/>
      <c r="T7" s="12"/>
      <c r="U7" s="12">
        <v>405839.65</v>
      </c>
      <c r="V7" s="12"/>
      <c r="W7" s="12"/>
      <c r="X7" s="12"/>
      <c r="Y7" s="12"/>
      <c r="Z7" s="12">
        <f>SUM(V7:Y7)</f>
        <v>0</v>
      </c>
      <c r="AA7" s="12"/>
      <c r="AB7" s="12"/>
      <c r="AC7" s="12"/>
      <c r="AD7" s="12"/>
      <c r="AE7" s="12">
        <f>SUM(AA7:AD7)</f>
        <v>0</v>
      </c>
      <c r="AF7" s="12"/>
      <c r="AG7" s="12"/>
      <c r="AH7" s="12"/>
      <c r="AI7" s="12"/>
      <c r="AJ7" s="12">
        <f>SUM(AF7:AI7)</f>
        <v>0</v>
      </c>
      <c r="AK7" s="12"/>
      <c r="AL7" s="12"/>
      <c r="AM7" s="12"/>
      <c r="AN7" s="12"/>
      <c r="AO7" s="12">
        <f>SUM(AK7:AN7)</f>
        <v>0</v>
      </c>
      <c r="AP7" s="12"/>
      <c r="AQ7" s="12"/>
      <c r="AR7" s="12"/>
      <c r="AS7" s="12"/>
      <c r="AT7" s="12">
        <f>SUM(AP7:AS7)</f>
        <v>0</v>
      </c>
      <c r="AU7" s="12"/>
      <c r="AV7" s="12"/>
      <c r="AW7" s="12"/>
      <c r="AX7" s="12"/>
      <c r="AY7" s="12">
        <f>SUM(AU7:AX7)</f>
        <v>0</v>
      </c>
      <c r="AZ7" s="12"/>
      <c r="BA7" s="12"/>
      <c r="BB7" s="12"/>
      <c r="BC7" s="12"/>
      <c r="BD7" s="12">
        <f>SUM(AZ7:BC7)</f>
        <v>0</v>
      </c>
      <c r="BE7" s="12"/>
      <c r="BF7" s="12"/>
      <c r="BG7" s="12"/>
      <c r="BH7" s="12"/>
      <c r="BI7" s="12">
        <f>SUM(BE7:BH7)</f>
        <v>0</v>
      </c>
    </row>
    <row r="8" spans="1:61" ht="15" customHeight="1" x14ac:dyDescent="0.2">
      <c r="A8" s="11" t="s">
        <v>21</v>
      </c>
      <c r="B8" s="12">
        <v>4250</v>
      </c>
      <c r="C8" s="12">
        <v>4250</v>
      </c>
      <c r="D8" s="12">
        <v>4250</v>
      </c>
      <c r="E8" s="12"/>
      <c r="F8" s="12">
        <v>18994.5</v>
      </c>
      <c r="G8" s="12"/>
      <c r="H8" s="12"/>
      <c r="I8" s="12"/>
      <c r="J8" s="12"/>
      <c r="K8" s="12">
        <f>SUM(G8:J8)</f>
        <v>0</v>
      </c>
      <c r="L8" s="12"/>
      <c r="M8" s="12"/>
      <c r="N8" s="12"/>
      <c r="O8" s="12"/>
      <c r="P8" s="12">
        <f>SUM(L8:O8)</f>
        <v>0</v>
      </c>
      <c r="Q8" s="12"/>
      <c r="R8" s="12"/>
      <c r="S8" s="12"/>
      <c r="T8" s="12"/>
      <c r="U8" s="12">
        <v>20549.3</v>
      </c>
      <c r="V8" s="12"/>
      <c r="W8" s="12"/>
      <c r="X8" s="12"/>
      <c r="Y8" s="12"/>
      <c r="Z8" s="12">
        <f>SUM(V8:Y8)</f>
        <v>0</v>
      </c>
      <c r="AA8" s="12"/>
      <c r="AB8" s="12"/>
      <c r="AC8" s="12"/>
      <c r="AD8" s="12"/>
      <c r="AE8" s="12">
        <f>SUM(AA8:AD8)</f>
        <v>0</v>
      </c>
      <c r="AF8" s="12"/>
      <c r="AG8" s="12"/>
      <c r="AH8" s="12"/>
      <c r="AI8" s="12"/>
      <c r="AJ8" s="12">
        <f>SUM(AF8:AI8)</f>
        <v>0</v>
      </c>
      <c r="AK8" s="12"/>
      <c r="AL8" s="12"/>
      <c r="AM8" s="12"/>
      <c r="AN8" s="12"/>
      <c r="AO8" s="12">
        <f>SUM(AK8:AN8)</f>
        <v>0</v>
      </c>
      <c r="AP8" s="12"/>
      <c r="AQ8" s="12"/>
      <c r="AR8" s="12"/>
      <c r="AS8" s="12"/>
      <c r="AT8" s="12">
        <f>SUM(AP8:AS8)</f>
        <v>0</v>
      </c>
      <c r="AU8" s="12"/>
      <c r="AV8" s="12"/>
      <c r="AW8" s="12"/>
      <c r="AX8" s="12"/>
      <c r="AY8" s="12">
        <f>SUM(AU8:AX8)</f>
        <v>0</v>
      </c>
      <c r="AZ8" s="12"/>
      <c r="BA8" s="12"/>
      <c r="BB8" s="12"/>
      <c r="BC8" s="12"/>
      <c r="BD8" s="12">
        <f>SUM(AZ8:BC8)</f>
        <v>0</v>
      </c>
      <c r="BE8" s="12"/>
      <c r="BF8" s="12"/>
      <c r="BG8" s="12"/>
      <c r="BH8" s="12"/>
      <c r="BI8" s="12">
        <f>SUM(BE8:BH8)</f>
        <v>0</v>
      </c>
    </row>
    <row r="9" spans="1:61" ht="15" customHeight="1" x14ac:dyDescent="0.2">
      <c r="A9" s="11" t="s">
        <v>22</v>
      </c>
      <c r="B9" s="12">
        <v>0</v>
      </c>
      <c r="C9" s="12">
        <v>0</v>
      </c>
      <c r="D9" s="12">
        <v>0</v>
      </c>
      <c r="E9" s="12"/>
      <c r="F9" s="12">
        <v>0</v>
      </c>
      <c r="G9" s="12"/>
      <c r="H9" s="12"/>
      <c r="I9" s="12"/>
      <c r="J9" s="12"/>
      <c r="K9" s="12">
        <f>SUM(G9:J9)</f>
        <v>0</v>
      </c>
      <c r="L9" s="12"/>
      <c r="M9" s="12"/>
      <c r="N9" s="12"/>
      <c r="O9" s="12"/>
      <c r="P9" s="12">
        <f>SUM(L9:O9)</f>
        <v>0</v>
      </c>
      <c r="Q9" s="12"/>
      <c r="R9" s="12"/>
      <c r="S9" s="12"/>
      <c r="T9" s="12"/>
      <c r="U9" s="12">
        <f>SUM(Q9:T9)</f>
        <v>0</v>
      </c>
      <c r="V9" s="12"/>
      <c r="W9" s="12"/>
      <c r="X9" s="12"/>
      <c r="Y9" s="12"/>
      <c r="Z9" s="12">
        <f>SUM(V9:Y9)</f>
        <v>0</v>
      </c>
      <c r="AA9" s="12"/>
      <c r="AB9" s="12"/>
      <c r="AC9" s="12"/>
      <c r="AD9" s="12"/>
      <c r="AE9" s="12">
        <f>SUM(AA9:AD9)</f>
        <v>0</v>
      </c>
      <c r="AF9" s="12"/>
      <c r="AG9" s="12"/>
      <c r="AH9" s="12"/>
      <c r="AI9" s="12"/>
      <c r="AJ9" s="12">
        <f>SUM(AF9:AI9)</f>
        <v>0</v>
      </c>
      <c r="AK9" s="12"/>
      <c r="AL9" s="12"/>
      <c r="AM9" s="12"/>
      <c r="AN9" s="12"/>
      <c r="AO9" s="12">
        <f>SUM(AK9:AN9)</f>
        <v>0</v>
      </c>
      <c r="AP9" s="12"/>
      <c r="AQ9" s="12"/>
      <c r="AR9" s="12"/>
      <c r="AS9" s="12"/>
      <c r="AT9" s="12">
        <f>SUM(AP9:AS9)</f>
        <v>0</v>
      </c>
      <c r="AU9" s="12"/>
      <c r="AV9" s="12"/>
      <c r="AW9" s="12"/>
      <c r="AX9" s="12"/>
      <c r="AY9" s="12">
        <f>SUM(AU9:AX9)</f>
        <v>0</v>
      </c>
      <c r="AZ9" s="12"/>
      <c r="BA9" s="12"/>
      <c r="BB9" s="12"/>
      <c r="BC9" s="12"/>
      <c r="BD9" s="12">
        <f>SUM(AZ9:BC9)</f>
        <v>0</v>
      </c>
      <c r="BE9" s="12"/>
      <c r="BF9" s="12"/>
      <c r="BG9" s="12"/>
      <c r="BH9" s="12"/>
      <c r="BI9" s="12">
        <f>SUM(BE9:BH9)</f>
        <v>0</v>
      </c>
    </row>
    <row r="10" spans="1:61" ht="15.75" customHeight="1" x14ac:dyDescent="0.2">
      <c r="A10" s="13" t="s">
        <v>23</v>
      </c>
      <c r="B10" s="14">
        <f t="shared" ref="B10:AG10" si="0">SUM(B7:B9)</f>
        <v>39013.199999999997</v>
      </c>
      <c r="C10" s="14">
        <f t="shared" si="0"/>
        <v>48988.22</v>
      </c>
      <c r="D10" s="14">
        <f t="shared" si="0"/>
        <v>53737.98</v>
      </c>
      <c r="E10" s="14">
        <f t="shared" si="0"/>
        <v>0</v>
      </c>
      <c r="F10" s="14">
        <f t="shared" si="0"/>
        <v>217033.97</v>
      </c>
      <c r="G10" s="14">
        <f t="shared" si="0"/>
        <v>0</v>
      </c>
      <c r="H10" s="14">
        <f t="shared" si="0"/>
        <v>0</v>
      </c>
      <c r="I10" s="14">
        <f t="shared" si="0"/>
        <v>0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4">
        <f t="shared" si="0"/>
        <v>0</v>
      </c>
      <c r="S10" s="14">
        <f t="shared" si="0"/>
        <v>0</v>
      </c>
      <c r="T10" s="14">
        <f t="shared" si="0"/>
        <v>0</v>
      </c>
      <c r="U10" s="14">
        <f t="shared" si="0"/>
        <v>426388.95</v>
      </c>
      <c r="V10" s="14">
        <f t="shared" si="0"/>
        <v>0</v>
      </c>
      <c r="W10" s="14">
        <f t="shared" si="0"/>
        <v>0</v>
      </c>
      <c r="X10" s="14">
        <f t="shared" si="0"/>
        <v>0</v>
      </c>
      <c r="Y10" s="14">
        <f t="shared" si="0"/>
        <v>0</v>
      </c>
      <c r="Z10" s="14">
        <f t="shared" si="0"/>
        <v>0</v>
      </c>
      <c r="AA10" s="14">
        <f t="shared" si="0"/>
        <v>0</v>
      </c>
      <c r="AB10" s="14">
        <f t="shared" si="0"/>
        <v>0</v>
      </c>
      <c r="AC10" s="14">
        <f t="shared" si="0"/>
        <v>0</v>
      </c>
      <c r="AD10" s="14">
        <f t="shared" si="0"/>
        <v>0</v>
      </c>
      <c r="AE10" s="14">
        <f t="shared" si="0"/>
        <v>0</v>
      </c>
      <c r="AF10" s="14">
        <f t="shared" si="0"/>
        <v>0</v>
      </c>
      <c r="AG10" s="14">
        <f t="shared" si="0"/>
        <v>0</v>
      </c>
      <c r="AH10" s="14">
        <f t="shared" ref="AH10:BM10" si="1">SUM(AH7:AH9)</f>
        <v>0</v>
      </c>
      <c r="AI10" s="14">
        <f t="shared" si="1"/>
        <v>0</v>
      </c>
      <c r="AJ10" s="14">
        <f t="shared" si="1"/>
        <v>0</v>
      </c>
      <c r="AK10" s="14">
        <f t="shared" si="1"/>
        <v>0</v>
      </c>
      <c r="AL10" s="14">
        <f t="shared" si="1"/>
        <v>0</v>
      </c>
      <c r="AM10" s="14">
        <f t="shared" si="1"/>
        <v>0</v>
      </c>
      <c r="AN10" s="14">
        <f t="shared" si="1"/>
        <v>0</v>
      </c>
      <c r="AO10" s="14">
        <f t="shared" si="1"/>
        <v>0</v>
      </c>
      <c r="AP10" s="14">
        <f t="shared" si="1"/>
        <v>0</v>
      </c>
      <c r="AQ10" s="14">
        <f t="shared" si="1"/>
        <v>0</v>
      </c>
      <c r="AR10" s="14">
        <f t="shared" si="1"/>
        <v>0</v>
      </c>
      <c r="AS10" s="14">
        <f t="shared" si="1"/>
        <v>0</v>
      </c>
      <c r="AT10" s="14">
        <f t="shared" si="1"/>
        <v>0</v>
      </c>
      <c r="AU10" s="14">
        <f t="shared" si="1"/>
        <v>0</v>
      </c>
      <c r="AV10" s="14">
        <f t="shared" si="1"/>
        <v>0</v>
      </c>
      <c r="AW10" s="14">
        <f t="shared" si="1"/>
        <v>0</v>
      </c>
      <c r="AX10" s="14">
        <f t="shared" si="1"/>
        <v>0</v>
      </c>
      <c r="AY10" s="14">
        <f t="shared" si="1"/>
        <v>0</v>
      </c>
      <c r="AZ10" s="14">
        <f t="shared" si="1"/>
        <v>0</v>
      </c>
      <c r="BA10" s="14">
        <f t="shared" si="1"/>
        <v>0</v>
      </c>
      <c r="BB10" s="14">
        <f t="shared" si="1"/>
        <v>0</v>
      </c>
      <c r="BC10" s="14">
        <f t="shared" si="1"/>
        <v>0</v>
      </c>
      <c r="BD10" s="14">
        <f t="shared" si="1"/>
        <v>0</v>
      </c>
      <c r="BE10" s="14">
        <f t="shared" si="1"/>
        <v>0</v>
      </c>
      <c r="BF10" s="14">
        <f t="shared" si="1"/>
        <v>0</v>
      </c>
      <c r="BG10" s="14">
        <f t="shared" si="1"/>
        <v>0</v>
      </c>
      <c r="BH10" s="14">
        <f t="shared" si="1"/>
        <v>0</v>
      </c>
      <c r="BI10" s="14">
        <f t="shared" si="1"/>
        <v>0</v>
      </c>
    </row>
    <row r="11" spans="1:61" ht="15" customHeight="1" x14ac:dyDescent="0.2">
      <c r="A11" s="5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</row>
    <row r="12" spans="1:61" ht="18.75" customHeight="1" x14ac:dyDescent="0.2">
      <c r="A12" s="15" t="s">
        <v>24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pans="1:61" ht="15" customHeight="1" x14ac:dyDescent="0.2">
      <c r="A13" s="11" t="s">
        <v>25</v>
      </c>
      <c r="B13" s="12">
        <v>2730.93</v>
      </c>
      <c r="C13" s="12">
        <v>3131.68</v>
      </c>
      <c r="D13" s="12">
        <v>3464.16</v>
      </c>
      <c r="E13" s="12"/>
      <c r="F13" s="12">
        <v>15192.38</v>
      </c>
      <c r="G13" s="12"/>
      <c r="H13" s="12"/>
      <c r="I13" s="12"/>
      <c r="J13" s="12"/>
      <c r="K13" s="12">
        <f>SUM(G13:J13)</f>
        <v>0</v>
      </c>
      <c r="L13" s="12"/>
      <c r="M13" s="12"/>
      <c r="N13" s="12"/>
      <c r="O13" s="12"/>
      <c r="P13" s="12">
        <f>SUM(L13:O13)</f>
        <v>0</v>
      </c>
      <c r="Q13" s="12"/>
      <c r="R13" s="12"/>
      <c r="S13" s="12"/>
      <c r="T13" s="12"/>
      <c r="U13" s="12">
        <f>U10*0.07</f>
        <v>29847.226500000004</v>
      </c>
      <c r="V13" s="12"/>
      <c r="W13" s="12"/>
      <c r="X13" s="12"/>
      <c r="Y13" s="12"/>
      <c r="Z13" s="12">
        <f>SUM(V13:Y13)</f>
        <v>0</v>
      </c>
      <c r="AA13" s="12"/>
      <c r="AB13" s="12"/>
      <c r="AC13" s="12"/>
      <c r="AD13" s="12"/>
      <c r="AE13" s="12">
        <f>SUM(AA13:AD13)</f>
        <v>0</v>
      </c>
      <c r="AF13" s="12"/>
      <c r="AG13" s="12"/>
      <c r="AH13" s="12"/>
      <c r="AI13" s="12"/>
      <c r="AJ13" s="12">
        <f>SUM(AF13:AI13)</f>
        <v>0</v>
      </c>
      <c r="AK13" s="12"/>
      <c r="AL13" s="12"/>
      <c r="AM13" s="12"/>
      <c r="AN13" s="12"/>
      <c r="AO13" s="12">
        <f>SUM(AK13:AN13)</f>
        <v>0</v>
      </c>
      <c r="AP13" s="12"/>
      <c r="AQ13" s="12"/>
      <c r="AR13" s="12"/>
      <c r="AS13" s="12"/>
      <c r="AT13" s="12">
        <f>SUM(AP13:AS13)</f>
        <v>0</v>
      </c>
      <c r="AU13" s="12"/>
      <c r="AV13" s="12"/>
      <c r="AW13" s="12"/>
      <c r="AX13" s="12"/>
      <c r="AY13" s="12">
        <f>SUM(AU13:AX13)</f>
        <v>0</v>
      </c>
      <c r="AZ13" s="12"/>
      <c r="BA13" s="12"/>
      <c r="BB13" s="12"/>
      <c r="BC13" s="12"/>
      <c r="BD13" s="12">
        <f>SUM(AZ13:BC13)</f>
        <v>0</v>
      </c>
      <c r="BE13" s="12"/>
      <c r="BF13" s="12"/>
      <c r="BG13" s="12"/>
      <c r="BH13" s="12"/>
      <c r="BI13" s="12">
        <f>SUM(BE13:BH13)</f>
        <v>0</v>
      </c>
    </row>
    <row r="14" spans="1:61" ht="15" customHeight="1" x14ac:dyDescent="0.2">
      <c r="A14" s="11" t="s">
        <v>26</v>
      </c>
      <c r="B14" s="12">
        <v>2037.14</v>
      </c>
      <c r="C14" s="12">
        <v>1823.07</v>
      </c>
      <c r="D14" s="12">
        <v>1746.55</v>
      </c>
      <c r="E14" s="12"/>
      <c r="F14" s="12">
        <v>7974.46</v>
      </c>
      <c r="G14" s="12"/>
      <c r="H14" s="12"/>
      <c r="I14" s="12"/>
      <c r="J14" s="12"/>
      <c r="K14" s="12">
        <f>SUM(G14:J14)</f>
        <v>0</v>
      </c>
      <c r="L14" s="12"/>
      <c r="M14" s="12"/>
      <c r="N14" s="12"/>
      <c r="O14" s="12"/>
      <c r="P14" s="12">
        <f>SUM(L14:O14)</f>
        <v>0</v>
      </c>
      <c r="Q14" s="12"/>
      <c r="R14" s="12"/>
      <c r="S14" s="12"/>
      <c r="T14" s="12"/>
      <c r="U14" s="12">
        <v>2516.5</v>
      </c>
      <c r="V14" s="12"/>
      <c r="W14" s="12"/>
      <c r="X14" s="12"/>
      <c r="Y14" s="12"/>
      <c r="Z14" s="12">
        <f>SUM(V14:Y14)</f>
        <v>0</v>
      </c>
      <c r="AA14" s="12"/>
      <c r="AB14" s="12"/>
      <c r="AC14" s="12"/>
      <c r="AD14" s="12"/>
      <c r="AE14" s="12">
        <f>SUM(AA14:AD14)</f>
        <v>0</v>
      </c>
      <c r="AF14" s="12"/>
      <c r="AG14" s="12"/>
      <c r="AH14" s="12"/>
      <c r="AI14" s="12"/>
      <c r="AJ14" s="12">
        <f>SUM(AF14:AI14)</f>
        <v>0</v>
      </c>
      <c r="AK14" s="12"/>
      <c r="AL14" s="12"/>
      <c r="AM14" s="12"/>
      <c r="AN14" s="12"/>
      <c r="AO14" s="12">
        <f>SUM(AK14:AN14)</f>
        <v>0</v>
      </c>
      <c r="AP14" s="12"/>
      <c r="AQ14" s="12"/>
      <c r="AR14" s="12"/>
      <c r="AS14" s="12"/>
      <c r="AT14" s="12">
        <f>SUM(AP14:AS14)</f>
        <v>0</v>
      </c>
      <c r="AU14" s="12"/>
      <c r="AV14" s="12"/>
      <c r="AW14" s="12"/>
      <c r="AX14" s="12"/>
      <c r="AY14" s="12">
        <f>SUM(AU14:AX14)</f>
        <v>0</v>
      </c>
      <c r="AZ14" s="12"/>
      <c r="BA14" s="12"/>
      <c r="BB14" s="12"/>
      <c r="BC14" s="12"/>
      <c r="BD14" s="12">
        <f>SUM(AZ14:BC14)</f>
        <v>0</v>
      </c>
      <c r="BE14" s="12"/>
      <c r="BF14" s="12"/>
      <c r="BG14" s="12"/>
      <c r="BH14" s="12"/>
      <c r="BI14" s="12">
        <f>SUM(BE14:BH14)</f>
        <v>0</v>
      </c>
    </row>
    <row r="15" spans="1:61" ht="15" customHeight="1" x14ac:dyDescent="0.2">
      <c r="A15" s="11" t="s">
        <v>27</v>
      </c>
      <c r="B15" s="12">
        <v>2857.25</v>
      </c>
      <c r="C15" s="12">
        <v>2859.34</v>
      </c>
      <c r="D15" s="12">
        <v>3241.85</v>
      </c>
      <c r="E15" s="12"/>
      <c r="F15" s="12">
        <v>13228.18</v>
      </c>
      <c r="G15" s="12"/>
      <c r="H15" s="12"/>
      <c r="I15" s="12"/>
      <c r="J15" s="12"/>
      <c r="K15" s="12">
        <f>SUM(G15:J15)</f>
        <v>0</v>
      </c>
      <c r="L15" s="12"/>
      <c r="M15" s="12"/>
      <c r="N15" s="12"/>
      <c r="O15" s="12"/>
      <c r="P15" s="12">
        <f>SUM(L15:O15)</f>
        <v>0</v>
      </c>
      <c r="Q15" s="12"/>
      <c r="R15" s="12"/>
      <c r="S15" s="12"/>
      <c r="T15" s="12"/>
      <c r="U15" s="12">
        <v>5061.1400000000003</v>
      </c>
      <c r="V15" s="12"/>
      <c r="W15" s="12"/>
      <c r="X15" s="12"/>
      <c r="Y15" s="12"/>
      <c r="Z15" s="12">
        <f>SUM(V15:Y15)</f>
        <v>0</v>
      </c>
      <c r="AA15" s="12"/>
      <c r="AB15" s="12"/>
      <c r="AC15" s="12"/>
      <c r="AD15" s="12"/>
      <c r="AE15" s="12">
        <f>SUM(AA15:AD15)</f>
        <v>0</v>
      </c>
      <c r="AF15" s="12"/>
      <c r="AG15" s="12"/>
      <c r="AH15" s="12"/>
      <c r="AI15" s="12"/>
      <c r="AJ15" s="12">
        <f>SUM(AF15:AI15)</f>
        <v>0</v>
      </c>
      <c r="AK15" s="12"/>
      <c r="AL15" s="12"/>
      <c r="AM15" s="12"/>
      <c r="AN15" s="12"/>
      <c r="AO15" s="12">
        <f>SUM(AK15:AN15)</f>
        <v>0</v>
      </c>
      <c r="AP15" s="12"/>
      <c r="AQ15" s="12"/>
      <c r="AR15" s="12"/>
      <c r="AS15" s="12"/>
      <c r="AT15" s="12">
        <f>SUM(AP15:AS15)</f>
        <v>0</v>
      </c>
      <c r="AU15" s="12"/>
      <c r="AV15" s="12"/>
      <c r="AW15" s="12"/>
      <c r="AX15" s="12"/>
      <c r="AY15" s="12">
        <f>SUM(AU15:AX15)</f>
        <v>0</v>
      </c>
      <c r="AZ15" s="12"/>
      <c r="BA15" s="12"/>
      <c r="BB15" s="12"/>
      <c r="BC15" s="12"/>
      <c r="BD15" s="12">
        <f>SUM(AZ15:BC15)</f>
        <v>0</v>
      </c>
      <c r="BE15" s="12"/>
      <c r="BF15" s="12"/>
      <c r="BG15" s="12"/>
      <c r="BH15" s="12"/>
      <c r="BI15" s="12">
        <f>SUM(BE15:BH15)</f>
        <v>0</v>
      </c>
    </row>
    <row r="16" spans="1:61" ht="15.75" customHeight="1" x14ac:dyDescent="0.2">
      <c r="A16" s="13" t="s">
        <v>28</v>
      </c>
      <c r="B16" s="14">
        <f t="shared" ref="B16:AG16" si="2">SUM(B13:B15)</f>
        <v>7625.32</v>
      </c>
      <c r="C16" s="14">
        <f t="shared" si="2"/>
        <v>7814.09</v>
      </c>
      <c r="D16" s="14">
        <f t="shared" si="2"/>
        <v>8452.56</v>
      </c>
      <c r="E16" s="14">
        <f t="shared" si="2"/>
        <v>0</v>
      </c>
      <c r="F16" s="14">
        <f t="shared" si="2"/>
        <v>36395.020000000004</v>
      </c>
      <c r="G16" s="14">
        <f t="shared" si="2"/>
        <v>0</v>
      </c>
      <c r="H16" s="14">
        <f t="shared" si="2"/>
        <v>0</v>
      </c>
      <c r="I16" s="14">
        <f t="shared" si="2"/>
        <v>0</v>
      </c>
      <c r="J16" s="14">
        <f t="shared" si="2"/>
        <v>0</v>
      </c>
      <c r="K16" s="14">
        <f t="shared" si="2"/>
        <v>0</v>
      </c>
      <c r="L16" s="14">
        <f t="shared" si="2"/>
        <v>0</v>
      </c>
      <c r="M16" s="14">
        <f t="shared" si="2"/>
        <v>0</v>
      </c>
      <c r="N16" s="14">
        <f t="shared" si="2"/>
        <v>0</v>
      </c>
      <c r="O16" s="14">
        <f t="shared" si="2"/>
        <v>0</v>
      </c>
      <c r="P16" s="14">
        <f t="shared" si="2"/>
        <v>0</v>
      </c>
      <c r="Q16" s="14">
        <f t="shared" si="2"/>
        <v>0</v>
      </c>
      <c r="R16" s="14">
        <f t="shared" si="2"/>
        <v>0</v>
      </c>
      <c r="S16" s="14">
        <f t="shared" si="2"/>
        <v>0</v>
      </c>
      <c r="T16" s="14">
        <f t="shared" si="2"/>
        <v>0</v>
      </c>
      <c r="U16" s="14">
        <f t="shared" si="2"/>
        <v>37424.866500000004</v>
      </c>
      <c r="V16" s="14">
        <f t="shared" si="2"/>
        <v>0</v>
      </c>
      <c r="W16" s="14">
        <f t="shared" si="2"/>
        <v>0</v>
      </c>
      <c r="X16" s="14">
        <f t="shared" si="2"/>
        <v>0</v>
      </c>
      <c r="Y16" s="14">
        <f t="shared" si="2"/>
        <v>0</v>
      </c>
      <c r="Z16" s="14">
        <f t="shared" si="2"/>
        <v>0</v>
      </c>
      <c r="AA16" s="14">
        <f t="shared" si="2"/>
        <v>0</v>
      </c>
      <c r="AB16" s="14">
        <f t="shared" si="2"/>
        <v>0</v>
      </c>
      <c r="AC16" s="14">
        <f t="shared" si="2"/>
        <v>0</v>
      </c>
      <c r="AD16" s="14">
        <f t="shared" si="2"/>
        <v>0</v>
      </c>
      <c r="AE16" s="14">
        <f t="shared" si="2"/>
        <v>0</v>
      </c>
      <c r="AF16" s="14">
        <f t="shared" si="2"/>
        <v>0</v>
      </c>
      <c r="AG16" s="14">
        <f t="shared" si="2"/>
        <v>0</v>
      </c>
      <c r="AH16" s="14">
        <f t="shared" ref="AH16:BM16" si="3">SUM(AH13:AH15)</f>
        <v>0</v>
      </c>
      <c r="AI16" s="14">
        <f t="shared" si="3"/>
        <v>0</v>
      </c>
      <c r="AJ16" s="14">
        <f t="shared" si="3"/>
        <v>0</v>
      </c>
      <c r="AK16" s="14">
        <f t="shared" si="3"/>
        <v>0</v>
      </c>
      <c r="AL16" s="14">
        <f t="shared" si="3"/>
        <v>0</v>
      </c>
      <c r="AM16" s="14">
        <f t="shared" si="3"/>
        <v>0</v>
      </c>
      <c r="AN16" s="14">
        <f t="shared" si="3"/>
        <v>0</v>
      </c>
      <c r="AO16" s="14">
        <f t="shared" si="3"/>
        <v>0</v>
      </c>
      <c r="AP16" s="14">
        <f t="shared" si="3"/>
        <v>0</v>
      </c>
      <c r="AQ16" s="14">
        <f t="shared" si="3"/>
        <v>0</v>
      </c>
      <c r="AR16" s="14">
        <f t="shared" si="3"/>
        <v>0</v>
      </c>
      <c r="AS16" s="14">
        <f t="shared" si="3"/>
        <v>0</v>
      </c>
      <c r="AT16" s="14">
        <f t="shared" si="3"/>
        <v>0</v>
      </c>
      <c r="AU16" s="14">
        <f t="shared" si="3"/>
        <v>0</v>
      </c>
      <c r="AV16" s="14">
        <f t="shared" si="3"/>
        <v>0</v>
      </c>
      <c r="AW16" s="14">
        <f t="shared" si="3"/>
        <v>0</v>
      </c>
      <c r="AX16" s="14">
        <f t="shared" si="3"/>
        <v>0</v>
      </c>
      <c r="AY16" s="14">
        <f t="shared" si="3"/>
        <v>0</v>
      </c>
      <c r="AZ16" s="14">
        <f t="shared" si="3"/>
        <v>0</v>
      </c>
      <c r="BA16" s="14">
        <f t="shared" si="3"/>
        <v>0</v>
      </c>
      <c r="BB16" s="14">
        <f t="shared" si="3"/>
        <v>0</v>
      </c>
      <c r="BC16" s="14">
        <f t="shared" si="3"/>
        <v>0</v>
      </c>
      <c r="BD16" s="14">
        <f t="shared" si="3"/>
        <v>0</v>
      </c>
      <c r="BE16" s="14">
        <f t="shared" si="3"/>
        <v>0</v>
      </c>
      <c r="BF16" s="14">
        <f t="shared" si="3"/>
        <v>0</v>
      </c>
      <c r="BG16" s="14">
        <f t="shared" si="3"/>
        <v>0</v>
      </c>
      <c r="BH16" s="14">
        <f t="shared" si="3"/>
        <v>0</v>
      </c>
      <c r="BI16" s="14">
        <f t="shared" si="3"/>
        <v>0</v>
      </c>
    </row>
    <row r="17" spans="1:61" ht="15" customHeight="1" x14ac:dyDescent="0.2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 spans="1:61" s="19" customFormat="1" ht="21" customHeight="1" x14ac:dyDescent="0.2">
      <c r="A18" s="17" t="s">
        <v>29</v>
      </c>
      <c r="B18" s="18">
        <f t="shared" ref="B18:AG18" si="4">B10-B16</f>
        <v>31387.879999999997</v>
      </c>
      <c r="C18" s="18">
        <f t="shared" si="4"/>
        <v>41174.130000000005</v>
      </c>
      <c r="D18" s="18">
        <f t="shared" si="4"/>
        <v>45285.420000000006</v>
      </c>
      <c r="E18" s="18">
        <f t="shared" si="4"/>
        <v>0</v>
      </c>
      <c r="F18" s="18">
        <f t="shared" si="4"/>
        <v>180638.95</v>
      </c>
      <c r="G18" s="18">
        <f t="shared" si="4"/>
        <v>0</v>
      </c>
      <c r="H18" s="18">
        <f t="shared" si="4"/>
        <v>0</v>
      </c>
      <c r="I18" s="18">
        <f t="shared" si="4"/>
        <v>0</v>
      </c>
      <c r="J18" s="18">
        <f t="shared" si="4"/>
        <v>0</v>
      </c>
      <c r="K18" s="18">
        <f t="shared" si="4"/>
        <v>0</v>
      </c>
      <c r="L18" s="18">
        <f t="shared" si="4"/>
        <v>0</v>
      </c>
      <c r="M18" s="18">
        <f t="shared" si="4"/>
        <v>0</v>
      </c>
      <c r="N18" s="18">
        <f t="shared" si="4"/>
        <v>0</v>
      </c>
      <c r="O18" s="18">
        <f t="shared" si="4"/>
        <v>0</v>
      </c>
      <c r="P18" s="18">
        <f t="shared" si="4"/>
        <v>0</v>
      </c>
      <c r="Q18" s="18">
        <f t="shared" si="4"/>
        <v>0</v>
      </c>
      <c r="R18" s="18">
        <f t="shared" si="4"/>
        <v>0</v>
      </c>
      <c r="S18" s="18">
        <f t="shared" si="4"/>
        <v>0</v>
      </c>
      <c r="T18" s="18">
        <f t="shared" si="4"/>
        <v>0</v>
      </c>
      <c r="U18" s="18">
        <f t="shared" si="4"/>
        <v>388964.08350000001</v>
      </c>
      <c r="V18" s="18">
        <f t="shared" si="4"/>
        <v>0</v>
      </c>
      <c r="W18" s="18">
        <f t="shared" si="4"/>
        <v>0</v>
      </c>
      <c r="X18" s="18">
        <f t="shared" si="4"/>
        <v>0</v>
      </c>
      <c r="Y18" s="18">
        <f t="shared" si="4"/>
        <v>0</v>
      </c>
      <c r="Z18" s="18">
        <f t="shared" si="4"/>
        <v>0</v>
      </c>
      <c r="AA18" s="18">
        <f t="shared" si="4"/>
        <v>0</v>
      </c>
      <c r="AB18" s="18">
        <f t="shared" si="4"/>
        <v>0</v>
      </c>
      <c r="AC18" s="18">
        <f t="shared" si="4"/>
        <v>0</v>
      </c>
      <c r="AD18" s="18">
        <f t="shared" si="4"/>
        <v>0</v>
      </c>
      <c r="AE18" s="18">
        <f t="shared" si="4"/>
        <v>0</v>
      </c>
      <c r="AF18" s="18">
        <f t="shared" si="4"/>
        <v>0</v>
      </c>
      <c r="AG18" s="18">
        <f t="shared" si="4"/>
        <v>0</v>
      </c>
      <c r="AH18" s="18">
        <f t="shared" ref="AH18:BI18" si="5">AH10-AH16</f>
        <v>0</v>
      </c>
      <c r="AI18" s="18">
        <f t="shared" si="5"/>
        <v>0</v>
      </c>
      <c r="AJ18" s="18">
        <f t="shared" si="5"/>
        <v>0</v>
      </c>
      <c r="AK18" s="18">
        <f t="shared" si="5"/>
        <v>0</v>
      </c>
      <c r="AL18" s="18">
        <f t="shared" si="5"/>
        <v>0</v>
      </c>
      <c r="AM18" s="18">
        <f t="shared" si="5"/>
        <v>0</v>
      </c>
      <c r="AN18" s="18">
        <f t="shared" si="5"/>
        <v>0</v>
      </c>
      <c r="AO18" s="18">
        <f t="shared" si="5"/>
        <v>0</v>
      </c>
      <c r="AP18" s="18">
        <f t="shared" si="5"/>
        <v>0</v>
      </c>
      <c r="AQ18" s="18">
        <f t="shared" si="5"/>
        <v>0</v>
      </c>
      <c r="AR18" s="18">
        <f t="shared" si="5"/>
        <v>0</v>
      </c>
      <c r="AS18" s="18">
        <f t="shared" si="5"/>
        <v>0</v>
      </c>
      <c r="AT18" s="18">
        <f t="shared" si="5"/>
        <v>0</v>
      </c>
      <c r="AU18" s="18">
        <f t="shared" si="5"/>
        <v>0</v>
      </c>
      <c r="AV18" s="18">
        <f t="shared" si="5"/>
        <v>0</v>
      </c>
      <c r="AW18" s="18">
        <f t="shared" si="5"/>
        <v>0</v>
      </c>
      <c r="AX18" s="18">
        <f t="shared" si="5"/>
        <v>0</v>
      </c>
      <c r="AY18" s="18">
        <f t="shared" si="5"/>
        <v>0</v>
      </c>
      <c r="AZ18" s="18">
        <f t="shared" si="5"/>
        <v>0</v>
      </c>
      <c r="BA18" s="18">
        <f t="shared" si="5"/>
        <v>0</v>
      </c>
      <c r="BB18" s="18">
        <f t="shared" si="5"/>
        <v>0</v>
      </c>
      <c r="BC18" s="18">
        <f t="shared" si="5"/>
        <v>0</v>
      </c>
      <c r="BD18" s="18">
        <f t="shared" si="5"/>
        <v>0</v>
      </c>
      <c r="BE18" s="18">
        <f t="shared" si="5"/>
        <v>0</v>
      </c>
      <c r="BF18" s="18">
        <f t="shared" si="5"/>
        <v>0</v>
      </c>
      <c r="BG18" s="18">
        <f t="shared" si="5"/>
        <v>0</v>
      </c>
      <c r="BH18" s="18">
        <f t="shared" si="5"/>
        <v>0</v>
      </c>
      <c r="BI18" s="18">
        <f t="shared" si="5"/>
        <v>0</v>
      </c>
    </row>
    <row r="19" spans="1:61" ht="15" customHeight="1" x14ac:dyDescent="0.2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ht="18.75" customHeight="1" x14ac:dyDescent="0.2">
      <c r="A20" s="15" t="s">
        <v>30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spans="1:61" ht="15" customHeight="1" x14ac:dyDescent="0.2">
      <c r="A21" s="11" t="s">
        <v>31</v>
      </c>
      <c r="B21" s="12">
        <v>10474.459999999999</v>
      </c>
      <c r="C21" s="12">
        <v>27628.53</v>
      </c>
      <c r="D21" s="12">
        <v>20958.66</v>
      </c>
      <c r="E21" s="12"/>
      <c r="F21" s="12">
        <v>88887.78</v>
      </c>
      <c r="G21" s="12"/>
      <c r="H21" s="12"/>
      <c r="I21" s="12"/>
      <c r="J21" s="12"/>
      <c r="K21" s="12">
        <f>SUM(G21:J21)</f>
        <v>0</v>
      </c>
      <c r="L21" s="12"/>
      <c r="M21" s="12"/>
      <c r="N21" s="12"/>
      <c r="O21" s="12"/>
      <c r="P21" s="12">
        <f>SUM(L21:O21)</f>
        <v>0</v>
      </c>
      <c r="Q21" s="12"/>
      <c r="R21" s="12"/>
      <c r="S21" s="12"/>
      <c r="T21" s="12"/>
      <c r="U21" s="12">
        <v>180604.12</v>
      </c>
      <c r="V21" s="12"/>
      <c r="W21" s="12"/>
      <c r="X21" s="12"/>
      <c r="Y21" s="12"/>
      <c r="Z21" s="12">
        <f>SUM(V21:Y21)</f>
        <v>0</v>
      </c>
      <c r="AA21" s="12"/>
      <c r="AB21" s="12"/>
      <c r="AC21" s="12"/>
      <c r="AD21" s="12"/>
      <c r="AE21" s="12">
        <f>SUM(AA21:AD21)</f>
        <v>0</v>
      </c>
      <c r="AF21" s="12"/>
      <c r="AG21" s="12"/>
      <c r="AH21" s="12"/>
      <c r="AI21" s="12"/>
      <c r="AJ21" s="12">
        <f>SUM(AF21:AI21)</f>
        <v>0</v>
      </c>
      <c r="AK21" s="12"/>
      <c r="AL21" s="12"/>
      <c r="AM21" s="12"/>
      <c r="AN21" s="12"/>
      <c r="AO21" s="12">
        <f>SUM(AK21:AN21)</f>
        <v>0</v>
      </c>
      <c r="AP21" s="12"/>
      <c r="AQ21" s="12"/>
      <c r="AR21" s="12"/>
      <c r="AS21" s="12"/>
      <c r="AT21" s="12">
        <f>SUM(AP21:AS21)</f>
        <v>0</v>
      </c>
      <c r="AU21" s="12"/>
      <c r="AV21" s="12"/>
      <c r="AW21" s="12"/>
      <c r="AX21" s="12"/>
      <c r="AY21" s="12">
        <f>SUM(AU21:AX21)</f>
        <v>0</v>
      </c>
      <c r="AZ21" s="12"/>
      <c r="BA21" s="12"/>
      <c r="BB21" s="12"/>
      <c r="BC21" s="12"/>
      <c r="BD21" s="12">
        <f>SUM(AZ21:BC21)</f>
        <v>0</v>
      </c>
      <c r="BE21" s="12"/>
      <c r="BF21" s="12"/>
      <c r="BG21" s="12"/>
      <c r="BH21" s="12"/>
      <c r="BI21" s="12">
        <f>SUM(BE21:BH21)</f>
        <v>0</v>
      </c>
    </row>
    <row r="22" spans="1:61" ht="15" customHeight="1" x14ac:dyDescent="0.2">
      <c r="A22" s="11" t="s">
        <v>32</v>
      </c>
      <c r="B22" s="12">
        <v>0</v>
      </c>
      <c r="C22" s="12">
        <v>0</v>
      </c>
      <c r="D22" s="12">
        <v>0</v>
      </c>
      <c r="E22" s="12"/>
      <c r="F22" s="12">
        <v>0</v>
      </c>
      <c r="G22" s="12"/>
      <c r="H22" s="12"/>
      <c r="I22" s="12"/>
      <c r="J22" s="12"/>
      <c r="K22" s="12">
        <f>SUM(G22:J22)</f>
        <v>0</v>
      </c>
      <c r="L22" s="12"/>
      <c r="M22" s="12"/>
      <c r="N22" s="12"/>
      <c r="O22" s="12"/>
      <c r="P22" s="12">
        <f>SUM(L22:O22)</f>
        <v>0</v>
      </c>
      <c r="Q22" s="12"/>
      <c r="R22" s="12"/>
      <c r="S22" s="12"/>
      <c r="T22" s="12"/>
      <c r="U22" s="12">
        <f>SUM(Q22:T22)</f>
        <v>0</v>
      </c>
      <c r="V22" s="12"/>
      <c r="W22" s="12"/>
      <c r="X22" s="12"/>
      <c r="Y22" s="12"/>
      <c r="Z22" s="12">
        <f>SUM(V22:Y22)</f>
        <v>0</v>
      </c>
      <c r="AA22" s="12"/>
      <c r="AB22" s="12"/>
      <c r="AC22" s="12"/>
      <c r="AD22" s="12"/>
      <c r="AE22" s="12">
        <f>SUM(AA22:AD22)</f>
        <v>0</v>
      </c>
      <c r="AF22" s="12"/>
      <c r="AG22" s="12"/>
      <c r="AH22" s="12"/>
      <c r="AI22" s="12"/>
      <c r="AJ22" s="12">
        <f>SUM(AF22:AI22)</f>
        <v>0</v>
      </c>
      <c r="AK22" s="12"/>
      <c r="AL22" s="12"/>
      <c r="AM22" s="12"/>
      <c r="AN22" s="12"/>
      <c r="AO22" s="12">
        <f>SUM(AK22:AN22)</f>
        <v>0</v>
      </c>
      <c r="AP22" s="12"/>
      <c r="AQ22" s="12"/>
      <c r="AR22" s="12"/>
      <c r="AS22" s="12"/>
      <c r="AT22" s="12">
        <f>SUM(AP22:AS22)</f>
        <v>0</v>
      </c>
      <c r="AU22" s="12"/>
      <c r="AV22" s="12"/>
      <c r="AW22" s="12"/>
      <c r="AX22" s="12"/>
      <c r="AY22" s="12">
        <f>SUM(AU22:AX22)</f>
        <v>0</v>
      </c>
      <c r="AZ22" s="12"/>
      <c r="BA22" s="12"/>
      <c r="BB22" s="12"/>
      <c r="BC22" s="12"/>
      <c r="BD22" s="12">
        <f>SUM(AZ22:BC22)</f>
        <v>0</v>
      </c>
      <c r="BE22" s="12"/>
      <c r="BF22" s="12"/>
      <c r="BG22" s="12"/>
      <c r="BH22" s="12"/>
      <c r="BI22" s="12">
        <f>SUM(BE22:BH22)</f>
        <v>0</v>
      </c>
    </row>
    <row r="23" spans="1:61" ht="15" customHeight="1" x14ac:dyDescent="0.2">
      <c r="A23" s="11" t="s">
        <v>33</v>
      </c>
      <c r="B23" s="12">
        <v>0</v>
      </c>
      <c r="C23" s="12">
        <v>0</v>
      </c>
      <c r="D23" s="12">
        <v>0</v>
      </c>
      <c r="E23" s="12"/>
      <c r="F23" s="12">
        <v>0</v>
      </c>
      <c r="G23" s="12"/>
      <c r="H23" s="12"/>
      <c r="I23" s="12"/>
      <c r="J23" s="12"/>
      <c r="K23" s="12">
        <f>SUM(G23:J23)</f>
        <v>0</v>
      </c>
      <c r="L23" s="12"/>
      <c r="M23" s="12"/>
      <c r="N23" s="12"/>
      <c r="O23" s="12"/>
      <c r="P23" s="12">
        <f>SUM(L23:O23)</f>
        <v>0</v>
      </c>
      <c r="Q23" s="12"/>
      <c r="R23" s="12"/>
      <c r="S23" s="12"/>
      <c r="T23" s="12"/>
      <c r="U23" s="12">
        <f>SUM(Q23:T23)</f>
        <v>0</v>
      </c>
      <c r="V23" s="12"/>
      <c r="W23" s="12"/>
      <c r="X23" s="12"/>
      <c r="Y23" s="12"/>
      <c r="Z23" s="12">
        <f>SUM(V23:Y23)</f>
        <v>0</v>
      </c>
      <c r="AA23" s="12"/>
      <c r="AB23" s="12"/>
      <c r="AC23" s="12"/>
      <c r="AD23" s="12"/>
      <c r="AE23" s="12">
        <f>SUM(AA23:AD23)</f>
        <v>0</v>
      </c>
      <c r="AF23" s="12"/>
      <c r="AG23" s="12"/>
      <c r="AH23" s="12"/>
      <c r="AI23" s="12"/>
      <c r="AJ23" s="12">
        <f>SUM(AF23:AI23)</f>
        <v>0</v>
      </c>
      <c r="AK23" s="12"/>
      <c r="AL23" s="12"/>
      <c r="AM23" s="12"/>
      <c r="AN23" s="12"/>
      <c r="AO23" s="12">
        <f>SUM(AK23:AN23)</f>
        <v>0</v>
      </c>
      <c r="AP23" s="12"/>
      <c r="AQ23" s="12"/>
      <c r="AR23" s="12"/>
      <c r="AS23" s="12"/>
      <c r="AT23" s="12">
        <f>SUM(AP23:AS23)</f>
        <v>0</v>
      </c>
      <c r="AU23" s="12"/>
      <c r="AV23" s="12"/>
      <c r="AW23" s="12"/>
      <c r="AX23" s="12"/>
      <c r="AY23" s="12">
        <f>SUM(AU23:AX23)</f>
        <v>0</v>
      </c>
      <c r="AZ23" s="12"/>
      <c r="BA23" s="12"/>
      <c r="BB23" s="12"/>
      <c r="BC23" s="12"/>
      <c r="BD23" s="12">
        <f>SUM(AZ23:BC23)</f>
        <v>0</v>
      </c>
      <c r="BE23" s="12"/>
      <c r="BF23" s="12"/>
      <c r="BG23" s="12"/>
      <c r="BH23" s="12"/>
      <c r="BI23" s="12">
        <f>SUM(BE23:BH23)</f>
        <v>0</v>
      </c>
    </row>
    <row r="24" spans="1:61" ht="15" customHeight="1" x14ac:dyDescent="0.2">
      <c r="A24" s="11" t="s">
        <v>34</v>
      </c>
      <c r="B24" s="12">
        <v>0</v>
      </c>
      <c r="C24" s="12">
        <v>0</v>
      </c>
      <c r="D24" s="12">
        <v>0</v>
      </c>
      <c r="E24" s="12"/>
      <c r="F24" s="12">
        <v>0</v>
      </c>
      <c r="G24" s="12"/>
      <c r="H24" s="12"/>
      <c r="I24" s="12"/>
      <c r="J24" s="12"/>
      <c r="K24" s="12">
        <f>SUM(G24:J24)</f>
        <v>0</v>
      </c>
      <c r="L24" s="12"/>
      <c r="M24" s="12"/>
      <c r="N24" s="12"/>
      <c r="O24" s="12"/>
      <c r="P24" s="12">
        <f>SUM(L24:O24)</f>
        <v>0</v>
      </c>
      <c r="Q24" s="12"/>
      <c r="R24" s="12"/>
      <c r="S24" s="12"/>
      <c r="T24" s="12"/>
      <c r="U24" s="12">
        <v>15904.8</v>
      </c>
      <c r="V24" s="12"/>
      <c r="W24" s="12"/>
      <c r="X24" s="12"/>
      <c r="Y24" s="12"/>
      <c r="Z24" s="12">
        <f>SUM(V24:Y24)</f>
        <v>0</v>
      </c>
      <c r="AA24" s="12"/>
      <c r="AB24" s="12"/>
      <c r="AC24" s="12"/>
      <c r="AD24" s="12"/>
      <c r="AE24" s="12">
        <f>SUM(AA24:AD24)</f>
        <v>0</v>
      </c>
      <c r="AF24" s="12"/>
      <c r="AG24" s="12"/>
      <c r="AH24" s="12"/>
      <c r="AI24" s="12"/>
      <c r="AJ24" s="12">
        <f>SUM(AF24:AI24)</f>
        <v>0</v>
      </c>
      <c r="AK24" s="12"/>
      <c r="AL24" s="12"/>
      <c r="AM24" s="12"/>
      <c r="AN24" s="12"/>
      <c r="AO24" s="12">
        <f>SUM(AK24:AN24)</f>
        <v>0</v>
      </c>
      <c r="AP24" s="12"/>
      <c r="AQ24" s="12"/>
      <c r="AR24" s="12"/>
      <c r="AS24" s="12"/>
      <c r="AT24" s="12">
        <f>SUM(AP24:AS24)</f>
        <v>0</v>
      </c>
      <c r="AU24" s="12"/>
      <c r="AV24" s="12"/>
      <c r="AW24" s="12"/>
      <c r="AX24" s="12"/>
      <c r="AY24" s="12">
        <f>SUM(AU24:AX24)</f>
        <v>0</v>
      </c>
      <c r="AZ24" s="12"/>
      <c r="BA24" s="12"/>
      <c r="BB24" s="12"/>
      <c r="BC24" s="12"/>
      <c r="BD24" s="12">
        <f>SUM(AZ24:BC24)</f>
        <v>0</v>
      </c>
      <c r="BE24" s="12"/>
      <c r="BF24" s="12"/>
      <c r="BG24" s="12"/>
      <c r="BH24" s="12"/>
      <c r="BI24" s="12">
        <f>SUM(BE24:BH24)</f>
        <v>0</v>
      </c>
    </row>
    <row r="25" spans="1:61" ht="15.75" customHeight="1" x14ac:dyDescent="0.2">
      <c r="A25" s="13" t="s">
        <v>35</v>
      </c>
      <c r="B25" s="14">
        <f t="shared" ref="B25:AG25" si="6">SUM(B21:B24)</f>
        <v>10474.459999999999</v>
      </c>
      <c r="C25" s="14">
        <f t="shared" si="6"/>
        <v>27628.53</v>
      </c>
      <c r="D25" s="14">
        <f t="shared" si="6"/>
        <v>20958.66</v>
      </c>
      <c r="E25" s="14">
        <f t="shared" si="6"/>
        <v>0</v>
      </c>
      <c r="F25" s="14">
        <f t="shared" si="6"/>
        <v>88887.78</v>
      </c>
      <c r="G25" s="14">
        <f t="shared" si="6"/>
        <v>0</v>
      </c>
      <c r="H25" s="14">
        <f t="shared" si="6"/>
        <v>0</v>
      </c>
      <c r="I25" s="14">
        <f t="shared" si="6"/>
        <v>0</v>
      </c>
      <c r="J25" s="14">
        <f t="shared" si="6"/>
        <v>0</v>
      </c>
      <c r="K25" s="14">
        <f t="shared" si="6"/>
        <v>0</v>
      </c>
      <c r="L25" s="14">
        <f t="shared" si="6"/>
        <v>0</v>
      </c>
      <c r="M25" s="14">
        <f t="shared" si="6"/>
        <v>0</v>
      </c>
      <c r="N25" s="14">
        <f t="shared" si="6"/>
        <v>0</v>
      </c>
      <c r="O25" s="14">
        <f t="shared" si="6"/>
        <v>0</v>
      </c>
      <c r="P25" s="14">
        <f t="shared" si="6"/>
        <v>0</v>
      </c>
      <c r="Q25" s="14">
        <f t="shared" si="6"/>
        <v>0</v>
      </c>
      <c r="R25" s="14">
        <f t="shared" si="6"/>
        <v>0</v>
      </c>
      <c r="S25" s="14">
        <f t="shared" si="6"/>
        <v>0</v>
      </c>
      <c r="T25" s="14">
        <f t="shared" si="6"/>
        <v>0</v>
      </c>
      <c r="U25" s="14">
        <f t="shared" si="6"/>
        <v>196508.91999999998</v>
      </c>
      <c r="V25" s="14">
        <f t="shared" si="6"/>
        <v>0</v>
      </c>
      <c r="W25" s="14">
        <f t="shared" si="6"/>
        <v>0</v>
      </c>
      <c r="X25" s="14">
        <f t="shared" si="6"/>
        <v>0</v>
      </c>
      <c r="Y25" s="14">
        <f t="shared" si="6"/>
        <v>0</v>
      </c>
      <c r="Z25" s="14">
        <f t="shared" si="6"/>
        <v>0</v>
      </c>
      <c r="AA25" s="14">
        <f t="shared" si="6"/>
        <v>0</v>
      </c>
      <c r="AB25" s="14">
        <f t="shared" si="6"/>
        <v>0</v>
      </c>
      <c r="AC25" s="14">
        <f t="shared" si="6"/>
        <v>0</v>
      </c>
      <c r="AD25" s="14">
        <f t="shared" si="6"/>
        <v>0</v>
      </c>
      <c r="AE25" s="14">
        <f t="shared" si="6"/>
        <v>0</v>
      </c>
      <c r="AF25" s="14">
        <f t="shared" si="6"/>
        <v>0</v>
      </c>
      <c r="AG25" s="14">
        <f t="shared" si="6"/>
        <v>0</v>
      </c>
      <c r="AH25" s="14">
        <f t="shared" ref="AH25:BM25" si="7">SUM(AH21:AH24)</f>
        <v>0</v>
      </c>
      <c r="AI25" s="14">
        <f t="shared" si="7"/>
        <v>0</v>
      </c>
      <c r="AJ25" s="14">
        <f t="shared" si="7"/>
        <v>0</v>
      </c>
      <c r="AK25" s="14">
        <f t="shared" si="7"/>
        <v>0</v>
      </c>
      <c r="AL25" s="14">
        <f t="shared" si="7"/>
        <v>0</v>
      </c>
      <c r="AM25" s="14">
        <f t="shared" si="7"/>
        <v>0</v>
      </c>
      <c r="AN25" s="14">
        <f t="shared" si="7"/>
        <v>0</v>
      </c>
      <c r="AO25" s="14">
        <f t="shared" si="7"/>
        <v>0</v>
      </c>
      <c r="AP25" s="14">
        <f t="shared" si="7"/>
        <v>0</v>
      </c>
      <c r="AQ25" s="14">
        <f t="shared" si="7"/>
        <v>0</v>
      </c>
      <c r="AR25" s="14">
        <f t="shared" si="7"/>
        <v>0</v>
      </c>
      <c r="AS25" s="14">
        <f t="shared" si="7"/>
        <v>0</v>
      </c>
      <c r="AT25" s="14">
        <f t="shared" si="7"/>
        <v>0</v>
      </c>
      <c r="AU25" s="14">
        <f t="shared" si="7"/>
        <v>0</v>
      </c>
      <c r="AV25" s="14">
        <f t="shared" si="7"/>
        <v>0</v>
      </c>
      <c r="AW25" s="14">
        <f t="shared" si="7"/>
        <v>0</v>
      </c>
      <c r="AX25" s="14">
        <f t="shared" si="7"/>
        <v>0</v>
      </c>
      <c r="AY25" s="14">
        <f t="shared" si="7"/>
        <v>0</v>
      </c>
      <c r="AZ25" s="14">
        <f t="shared" si="7"/>
        <v>0</v>
      </c>
      <c r="BA25" s="14">
        <f t="shared" si="7"/>
        <v>0</v>
      </c>
      <c r="BB25" s="14">
        <f t="shared" si="7"/>
        <v>0</v>
      </c>
      <c r="BC25" s="14">
        <f t="shared" si="7"/>
        <v>0</v>
      </c>
      <c r="BD25" s="14">
        <f t="shared" si="7"/>
        <v>0</v>
      </c>
      <c r="BE25" s="14">
        <f t="shared" si="7"/>
        <v>0</v>
      </c>
      <c r="BF25" s="14">
        <f t="shared" si="7"/>
        <v>0</v>
      </c>
      <c r="BG25" s="14">
        <f t="shared" si="7"/>
        <v>0</v>
      </c>
      <c r="BH25" s="14">
        <f t="shared" si="7"/>
        <v>0</v>
      </c>
      <c r="BI25" s="14">
        <f t="shared" si="7"/>
        <v>0</v>
      </c>
    </row>
    <row r="26" spans="1:61" ht="15" customHeight="1" x14ac:dyDescent="0.2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s="19" customFormat="1" ht="21" customHeight="1" x14ac:dyDescent="0.2">
      <c r="A27" s="20" t="s">
        <v>36</v>
      </c>
      <c r="B27" s="21">
        <f t="shared" ref="B27:AG27" si="8">B18-B25</f>
        <v>20913.419999999998</v>
      </c>
      <c r="C27" s="21">
        <f t="shared" si="8"/>
        <v>13545.600000000006</v>
      </c>
      <c r="D27" s="21">
        <f t="shared" si="8"/>
        <v>24326.760000000006</v>
      </c>
      <c r="E27" s="21">
        <f t="shared" si="8"/>
        <v>0</v>
      </c>
      <c r="F27" s="21">
        <f t="shared" si="8"/>
        <v>91751.170000000013</v>
      </c>
      <c r="G27" s="21">
        <f t="shared" si="8"/>
        <v>0</v>
      </c>
      <c r="H27" s="21">
        <f t="shared" si="8"/>
        <v>0</v>
      </c>
      <c r="I27" s="21">
        <f t="shared" si="8"/>
        <v>0</v>
      </c>
      <c r="J27" s="21">
        <f t="shared" si="8"/>
        <v>0</v>
      </c>
      <c r="K27" s="21">
        <f t="shared" si="8"/>
        <v>0</v>
      </c>
      <c r="L27" s="21">
        <f t="shared" si="8"/>
        <v>0</v>
      </c>
      <c r="M27" s="21">
        <f t="shared" si="8"/>
        <v>0</v>
      </c>
      <c r="N27" s="21">
        <f t="shared" si="8"/>
        <v>0</v>
      </c>
      <c r="O27" s="21">
        <f t="shared" si="8"/>
        <v>0</v>
      </c>
      <c r="P27" s="21">
        <f t="shared" si="8"/>
        <v>0</v>
      </c>
      <c r="Q27" s="21">
        <f t="shared" si="8"/>
        <v>0</v>
      </c>
      <c r="R27" s="21">
        <f t="shared" si="8"/>
        <v>0</v>
      </c>
      <c r="S27" s="21">
        <f t="shared" si="8"/>
        <v>0</v>
      </c>
      <c r="T27" s="21">
        <f t="shared" si="8"/>
        <v>0</v>
      </c>
      <c r="U27" s="21">
        <f t="shared" si="8"/>
        <v>192455.16350000002</v>
      </c>
      <c r="V27" s="21">
        <f t="shared" si="8"/>
        <v>0</v>
      </c>
      <c r="W27" s="21">
        <f t="shared" si="8"/>
        <v>0</v>
      </c>
      <c r="X27" s="21">
        <f t="shared" si="8"/>
        <v>0</v>
      </c>
      <c r="Y27" s="21">
        <f t="shared" si="8"/>
        <v>0</v>
      </c>
      <c r="Z27" s="21">
        <f t="shared" si="8"/>
        <v>0</v>
      </c>
      <c r="AA27" s="21">
        <f t="shared" si="8"/>
        <v>0</v>
      </c>
      <c r="AB27" s="21">
        <f t="shared" si="8"/>
        <v>0</v>
      </c>
      <c r="AC27" s="21">
        <f t="shared" si="8"/>
        <v>0</v>
      </c>
      <c r="AD27" s="21">
        <f t="shared" si="8"/>
        <v>0</v>
      </c>
      <c r="AE27" s="21">
        <f t="shared" si="8"/>
        <v>0</v>
      </c>
      <c r="AF27" s="21">
        <f t="shared" si="8"/>
        <v>0</v>
      </c>
      <c r="AG27" s="21">
        <f t="shared" si="8"/>
        <v>0</v>
      </c>
      <c r="AH27" s="21">
        <f t="shared" ref="AH27:BI27" si="9">AH18-AH25</f>
        <v>0</v>
      </c>
      <c r="AI27" s="21">
        <f t="shared" si="9"/>
        <v>0</v>
      </c>
      <c r="AJ27" s="21">
        <f t="shared" si="9"/>
        <v>0</v>
      </c>
      <c r="AK27" s="21">
        <f t="shared" si="9"/>
        <v>0</v>
      </c>
      <c r="AL27" s="21">
        <f t="shared" si="9"/>
        <v>0</v>
      </c>
      <c r="AM27" s="21">
        <f t="shared" si="9"/>
        <v>0</v>
      </c>
      <c r="AN27" s="21">
        <f t="shared" si="9"/>
        <v>0</v>
      </c>
      <c r="AO27" s="21">
        <f t="shared" si="9"/>
        <v>0</v>
      </c>
      <c r="AP27" s="21">
        <f t="shared" si="9"/>
        <v>0</v>
      </c>
      <c r="AQ27" s="21">
        <f t="shared" si="9"/>
        <v>0</v>
      </c>
      <c r="AR27" s="21">
        <f t="shared" si="9"/>
        <v>0</v>
      </c>
      <c r="AS27" s="21">
        <f t="shared" si="9"/>
        <v>0</v>
      </c>
      <c r="AT27" s="21">
        <f t="shared" si="9"/>
        <v>0</v>
      </c>
      <c r="AU27" s="21">
        <f t="shared" si="9"/>
        <v>0</v>
      </c>
      <c r="AV27" s="21">
        <f t="shared" si="9"/>
        <v>0</v>
      </c>
      <c r="AW27" s="21">
        <f t="shared" si="9"/>
        <v>0</v>
      </c>
      <c r="AX27" s="21">
        <f t="shared" si="9"/>
        <v>0</v>
      </c>
      <c r="AY27" s="21">
        <f t="shared" si="9"/>
        <v>0</v>
      </c>
      <c r="AZ27" s="21">
        <f t="shared" si="9"/>
        <v>0</v>
      </c>
      <c r="BA27" s="21">
        <f t="shared" si="9"/>
        <v>0</v>
      </c>
      <c r="BB27" s="21">
        <f t="shared" si="9"/>
        <v>0</v>
      </c>
      <c r="BC27" s="21">
        <f t="shared" si="9"/>
        <v>0</v>
      </c>
      <c r="BD27" s="21">
        <f t="shared" si="9"/>
        <v>0</v>
      </c>
      <c r="BE27" s="21">
        <f t="shared" si="9"/>
        <v>0</v>
      </c>
      <c r="BF27" s="21">
        <f t="shared" si="9"/>
        <v>0</v>
      </c>
      <c r="BG27" s="21">
        <f t="shared" si="9"/>
        <v>0</v>
      </c>
      <c r="BH27" s="21">
        <f t="shared" si="9"/>
        <v>0</v>
      </c>
      <c r="BI27" s="21">
        <f t="shared" si="9"/>
        <v>0</v>
      </c>
    </row>
    <row r="28" spans="1:61" ht="18.75" customHeight="1" x14ac:dyDescent="0.2">
      <c r="A28" s="22" t="s">
        <v>37</v>
      </c>
      <c r="B28" s="23">
        <f t="shared" ref="B28:AG28" si="10">IF(B18=0,0,B27/B18)</f>
        <v>0.66628966339873863</v>
      </c>
      <c r="C28" s="23">
        <f t="shared" si="10"/>
        <v>0.3289832717776916</v>
      </c>
      <c r="D28" s="23">
        <f t="shared" si="10"/>
        <v>0.53718746563463482</v>
      </c>
      <c r="E28" s="23">
        <f t="shared" si="10"/>
        <v>0</v>
      </c>
      <c r="F28" s="23">
        <f t="shared" si="10"/>
        <v>0.50792572698191618</v>
      </c>
      <c r="G28" s="23">
        <f t="shared" si="10"/>
        <v>0</v>
      </c>
      <c r="H28" s="23">
        <f t="shared" si="10"/>
        <v>0</v>
      </c>
      <c r="I28" s="23">
        <f t="shared" si="10"/>
        <v>0</v>
      </c>
      <c r="J28" s="23">
        <f t="shared" si="10"/>
        <v>0</v>
      </c>
      <c r="K28" s="23">
        <f t="shared" si="10"/>
        <v>0</v>
      </c>
      <c r="L28" s="23">
        <f t="shared" si="10"/>
        <v>0</v>
      </c>
      <c r="M28" s="23">
        <f t="shared" si="10"/>
        <v>0</v>
      </c>
      <c r="N28" s="23">
        <f t="shared" si="10"/>
        <v>0</v>
      </c>
      <c r="O28" s="23">
        <f t="shared" si="10"/>
        <v>0</v>
      </c>
      <c r="P28" s="23">
        <f t="shared" si="10"/>
        <v>0</v>
      </c>
      <c r="Q28" s="23">
        <f t="shared" si="10"/>
        <v>0</v>
      </c>
      <c r="R28" s="23">
        <f t="shared" si="10"/>
        <v>0</v>
      </c>
      <c r="S28" s="23">
        <f t="shared" si="10"/>
        <v>0</v>
      </c>
      <c r="T28" s="23">
        <f t="shared" si="10"/>
        <v>0</v>
      </c>
      <c r="U28" s="23">
        <f t="shared" si="10"/>
        <v>0.49478903493669235</v>
      </c>
      <c r="V28" s="23">
        <f t="shared" si="10"/>
        <v>0</v>
      </c>
      <c r="W28" s="23">
        <f t="shared" si="10"/>
        <v>0</v>
      </c>
      <c r="X28" s="23">
        <f t="shared" si="10"/>
        <v>0</v>
      </c>
      <c r="Y28" s="23">
        <f t="shared" si="10"/>
        <v>0</v>
      </c>
      <c r="Z28" s="23">
        <f t="shared" si="10"/>
        <v>0</v>
      </c>
      <c r="AA28" s="23">
        <f t="shared" si="10"/>
        <v>0</v>
      </c>
      <c r="AB28" s="23">
        <f t="shared" si="10"/>
        <v>0</v>
      </c>
      <c r="AC28" s="23">
        <f t="shared" si="10"/>
        <v>0</v>
      </c>
      <c r="AD28" s="23">
        <f t="shared" si="10"/>
        <v>0</v>
      </c>
      <c r="AE28" s="23">
        <f t="shared" si="10"/>
        <v>0</v>
      </c>
      <c r="AF28" s="23">
        <f t="shared" si="10"/>
        <v>0</v>
      </c>
      <c r="AG28" s="23">
        <f t="shared" si="10"/>
        <v>0</v>
      </c>
      <c r="AH28" s="23">
        <f t="shared" ref="AH28:BM28" si="11">IF(AH18=0,0,AH27/AH18)</f>
        <v>0</v>
      </c>
      <c r="AI28" s="23">
        <f t="shared" si="11"/>
        <v>0</v>
      </c>
      <c r="AJ28" s="23">
        <f t="shared" si="11"/>
        <v>0</v>
      </c>
      <c r="AK28" s="23">
        <f t="shared" si="11"/>
        <v>0</v>
      </c>
      <c r="AL28" s="23">
        <f t="shared" si="11"/>
        <v>0</v>
      </c>
      <c r="AM28" s="23">
        <f t="shared" si="11"/>
        <v>0</v>
      </c>
      <c r="AN28" s="23">
        <f t="shared" si="11"/>
        <v>0</v>
      </c>
      <c r="AO28" s="23">
        <f t="shared" si="11"/>
        <v>0</v>
      </c>
      <c r="AP28" s="23">
        <f t="shared" si="11"/>
        <v>0</v>
      </c>
      <c r="AQ28" s="23">
        <f t="shared" si="11"/>
        <v>0</v>
      </c>
      <c r="AR28" s="23">
        <f t="shared" si="11"/>
        <v>0</v>
      </c>
      <c r="AS28" s="23">
        <f t="shared" si="11"/>
        <v>0</v>
      </c>
      <c r="AT28" s="23">
        <f t="shared" si="11"/>
        <v>0</v>
      </c>
      <c r="AU28" s="23">
        <f t="shared" si="11"/>
        <v>0</v>
      </c>
      <c r="AV28" s="23">
        <f t="shared" si="11"/>
        <v>0</v>
      </c>
      <c r="AW28" s="23">
        <f t="shared" si="11"/>
        <v>0</v>
      </c>
      <c r="AX28" s="23">
        <f t="shared" si="11"/>
        <v>0</v>
      </c>
      <c r="AY28" s="23">
        <f t="shared" si="11"/>
        <v>0</v>
      </c>
      <c r="AZ28" s="23">
        <f t="shared" si="11"/>
        <v>0</v>
      </c>
      <c r="BA28" s="23">
        <f t="shared" si="11"/>
        <v>0</v>
      </c>
      <c r="BB28" s="23">
        <f t="shared" si="11"/>
        <v>0</v>
      </c>
      <c r="BC28" s="23">
        <f t="shared" si="11"/>
        <v>0</v>
      </c>
      <c r="BD28" s="23">
        <f t="shared" si="11"/>
        <v>0</v>
      </c>
      <c r="BE28" s="23">
        <f t="shared" si="11"/>
        <v>0</v>
      </c>
      <c r="BF28" s="23">
        <f t="shared" si="11"/>
        <v>0</v>
      </c>
      <c r="BG28" s="23">
        <f t="shared" si="11"/>
        <v>0</v>
      </c>
      <c r="BH28" s="23">
        <f t="shared" si="11"/>
        <v>0</v>
      </c>
      <c r="BI28" s="23">
        <f t="shared" si="11"/>
        <v>0</v>
      </c>
    </row>
    <row r="29" spans="1:61" ht="15" customHeight="1" x14ac:dyDescent="0.2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ht="18.75" customHeight="1" x14ac:dyDescent="0.2">
      <c r="A30" s="15" t="s">
        <v>38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ht="15.75" customHeight="1" x14ac:dyDescent="0.2">
      <c r="A31" s="24" t="s">
        <v>39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ht="15" customHeight="1" x14ac:dyDescent="0.2">
      <c r="A32" s="11" t="s">
        <v>40</v>
      </c>
      <c r="B32" s="12">
        <v>3250</v>
      </c>
      <c r="C32" s="12">
        <v>3250</v>
      </c>
      <c r="D32" s="12">
        <v>3250</v>
      </c>
      <c r="E32" s="12"/>
      <c r="F32" s="12">
        <v>13000</v>
      </c>
      <c r="G32" s="12"/>
      <c r="H32" s="12"/>
      <c r="I32" s="12"/>
      <c r="J32" s="12"/>
      <c r="K32" s="12">
        <f t="shared" ref="K32:K37" si="12">SUM(G32:J32)</f>
        <v>0</v>
      </c>
      <c r="L32" s="12"/>
      <c r="M32" s="12"/>
      <c r="N32" s="12"/>
      <c r="O32" s="12"/>
      <c r="P32" s="12">
        <f t="shared" ref="P32:P37" si="13">SUM(L32:O32)</f>
        <v>0</v>
      </c>
      <c r="Q32" s="12"/>
      <c r="R32" s="12"/>
      <c r="S32" s="12"/>
      <c r="T32" s="12"/>
      <c r="U32" s="12">
        <v>16324</v>
      </c>
      <c r="V32" s="12"/>
      <c r="W32" s="12"/>
      <c r="X32" s="12"/>
      <c r="Y32" s="12"/>
      <c r="Z32" s="12">
        <f t="shared" ref="Z32:Z37" si="14">SUM(V32:Y32)</f>
        <v>0</v>
      </c>
      <c r="AA32" s="12"/>
      <c r="AB32" s="12"/>
      <c r="AC32" s="12"/>
      <c r="AD32" s="12"/>
      <c r="AE32" s="12">
        <f t="shared" ref="AE32:AE37" si="15">SUM(AA32:AD32)</f>
        <v>0</v>
      </c>
      <c r="AF32" s="12"/>
      <c r="AG32" s="12"/>
      <c r="AH32" s="12"/>
      <c r="AI32" s="12"/>
      <c r="AJ32" s="12">
        <f t="shared" ref="AJ32:AJ37" si="16">SUM(AF32:AI32)</f>
        <v>0</v>
      </c>
      <c r="AK32" s="12"/>
      <c r="AL32" s="12"/>
      <c r="AM32" s="12"/>
      <c r="AN32" s="12"/>
      <c r="AO32" s="12">
        <f t="shared" ref="AO32:AO37" si="17">SUM(AK32:AN32)</f>
        <v>0</v>
      </c>
      <c r="AP32" s="12"/>
      <c r="AQ32" s="12"/>
      <c r="AR32" s="12"/>
      <c r="AS32" s="12"/>
      <c r="AT32" s="12">
        <f t="shared" ref="AT32:AT37" si="18">SUM(AP32:AS32)</f>
        <v>0</v>
      </c>
      <c r="AU32" s="12"/>
      <c r="AV32" s="12"/>
      <c r="AW32" s="12"/>
      <c r="AX32" s="12"/>
      <c r="AY32" s="12">
        <f t="shared" ref="AY32:AY37" si="19">SUM(AU32:AX32)</f>
        <v>0</v>
      </c>
      <c r="AZ32" s="12"/>
      <c r="BA32" s="12"/>
      <c r="BB32" s="12"/>
      <c r="BC32" s="12"/>
      <c r="BD32" s="12">
        <f t="shared" ref="BD32:BD37" si="20">SUM(AZ32:BC32)</f>
        <v>0</v>
      </c>
      <c r="BE32" s="12"/>
      <c r="BF32" s="12"/>
      <c r="BG32" s="12"/>
      <c r="BH32" s="12"/>
      <c r="BI32" s="12">
        <f t="shared" ref="BI32:BI37" si="21">SUM(BE32:BH32)</f>
        <v>0</v>
      </c>
    </row>
    <row r="33" spans="1:61" ht="15" customHeight="1" x14ac:dyDescent="0.2">
      <c r="A33" s="11" t="s">
        <v>41</v>
      </c>
      <c r="B33" s="12">
        <v>250</v>
      </c>
      <c r="C33" s="12">
        <v>250</v>
      </c>
      <c r="D33" s="12">
        <v>250</v>
      </c>
      <c r="E33" s="12"/>
      <c r="F33" s="12">
        <v>1000</v>
      </c>
      <c r="G33" s="12"/>
      <c r="H33" s="12"/>
      <c r="I33" s="12"/>
      <c r="J33" s="12"/>
      <c r="K33" s="12">
        <f t="shared" si="12"/>
        <v>0</v>
      </c>
      <c r="L33" s="12"/>
      <c r="M33" s="12"/>
      <c r="N33" s="12"/>
      <c r="O33" s="12"/>
      <c r="P33" s="12">
        <f t="shared" si="13"/>
        <v>0</v>
      </c>
      <c r="Q33" s="12"/>
      <c r="R33" s="12"/>
      <c r="S33" s="12"/>
      <c r="T33" s="12"/>
      <c r="U33" s="12">
        <v>2086.21</v>
      </c>
      <c r="V33" s="12"/>
      <c r="W33" s="12"/>
      <c r="X33" s="12"/>
      <c r="Y33" s="12"/>
      <c r="Z33" s="12">
        <f t="shared" si="14"/>
        <v>0</v>
      </c>
      <c r="AA33" s="12"/>
      <c r="AB33" s="12"/>
      <c r="AC33" s="12"/>
      <c r="AD33" s="12"/>
      <c r="AE33" s="12">
        <f t="shared" si="15"/>
        <v>0</v>
      </c>
      <c r="AF33" s="12"/>
      <c r="AG33" s="12"/>
      <c r="AH33" s="12"/>
      <c r="AI33" s="12"/>
      <c r="AJ33" s="12">
        <f t="shared" si="16"/>
        <v>0</v>
      </c>
      <c r="AK33" s="12"/>
      <c r="AL33" s="12"/>
      <c r="AM33" s="12"/>
      <c r="AN33" s="12"/>
      <c r="AO33" s="12">
        <f t="shared" si="17"/>
        <v>0</v>
      </c>
      <c r="AP33" s="12"/>
      <c r="AQ33" s="12"/>
      <c r="AR33" s="12"/>
      <c r="AS33" s="12"/>
      <c r="AT33" s="12">
        <f t="shared" si="18"/>
        <v>0</v>
      </c>
      <c r="AU33" s="12"/>
      <c r="AV33" s="12"/>
      <c r="AW33" s="12"/>
      <c r="AX33" s="12"/>
      <c r="AY33" s="12">
        <f t="shared" si="19"/>
        <v>0</v>
      </c>
      <c r="AZ33" s="12"/>
      <c r="BA33" s="12"/>
      <c r="BB33" s="12"/>
      <c r="BC33" s="12"/>
      <c r="BD33" s="12">
        <f t="shared" si="20"/>
        <v>0</v>
      </c>
      <c r="BE33" s="12"/>
      <c r="BF33" s="12"/>
      <c r="BG33" s="12"/>
      <c r="BH33" s="12"/>
      <c r="BI33" s="12">
        <f t="shared" si="21"/>
        <v>0</v>
      </c>
    </row>
    <row r="34" spans="1:61" ht="15" customHeight="1" x14ac:dyDescent="0.2">
      <c r="A34" s="11" t="s">
        <v>42</v>
      </c>
      <c r="B34" s="12">
        <v>3950</v>
      </c>
      <c r="C34" s="12">
        <v>3950</v>
      </c>
      <c r="D34" s="12">
        <v>3950</v>
      </c>
      <c r="E34" s="12"/>
      <c r="F34" s="12">
        <v>17000</v>
      </c>
      <c r="G34" s="12"/>
      <c r="H34" s="12"/>
      <c r="I34" s="12"/>
      <c r="J34" s="12"/>
      <c r="K34" s="12">
        <f t="shared" si="12"/>
        <v>0</v>
      </c>
      <c r="L34" s="12"/>
      <c r="M34" s="12"/>
      <c r="N34" s="12"/>
      <c r="O34" s="12"/>
      <c r="P34" s="12">
        <f t="shared" si="13"/>
        <v>0</v>
      </c>
      <c r="Q34" s="12"/>
      <c r="R34" s="12"/>
      <c r="S34" s="12"/>
      <c r="T34" s="12"/>
      <c r="U34" s="12">
        <v>9000</v>
      </c>
      <c r="V34" s="12"/>
      <c r="W34" s="12"/>
      <c r="X34" s="12"/>
      <c r="Y34" s="12"/>
      <c r="Z34" s="12">
        <f t="shared" si="14"/>
        <v>0</v>
      </c>
      <c r="AA34" s="12"/>
      <c r="AB34" s="12"/>
      <c r="AC34" s="12"/>
      <c r="AD34" s="12"/>
      <c r="AE34" s="12">
        <f t="shared" si="15"/>
        <v>0</v>
      </c>
      <c r="AF34" s="12"/>
      <c r="AG34" s="12"/>
      <c r="AH34" s="12"/>
      <c r="AI34" s="12"/>
      <c r="AJ34" s="12">
        <f t="shared" si="16"/>
        <v>0</v>
      </c>
      <c r="AK34" s="12"/>
      <c r="AL34" s="12"/>
      <c r="AM34" s="12"/>
      <c r="AN34" s="12"/>
      <c r="AO34" s="12">
        <f t="shared" si="17"/>
        <v>0</v>
      </c>
      <c r="AP34" s="12"/>
      <c r="AQ34" s="12"/>
      <c r="AR34" s="12"/>
      <c r="AS34" s="12"/>
      <c r="AT34" s="12">
        <f t="shared" si="18"/>
        <v>0</v>
      </c>
      <c r="AU34" s="12"/>
      <c r="AV34" s="12"/>
      <c r="AW34" s="12"/>
      <c r="AX34" s="12"/>
      <c r="AY34" s="12">
        <f t="shared" si="19"/>
        <v>0</v>
      </c>
      <c r="AZ34" s="12"/>
      <c r="BA34" s="12"/>
      <c r="BB34" s="12"/>
      <c r="BC34" s="12"/>
      <c r="BD34" s="12">
        <f t="shared" si="20"/>
        <v>0</v>
      </c>
      <c r="BE34" s="12"/>
      <c r="BF34" s="12"/>
      <c r="BG34" s="12"/>
      <c r="BH34" s="12"/>
      <c r="BI34" s="12">
        <f t="shared" si="21"/>
        <v>0</v>
      </c>
    </row>
    <row r="35" spans="1:61" ht="15" customHeight="1" x14ac:dyDescent="0.2">
      <c r="A35" s="11" t="s">
        <v>43</v>
      </c>
      <c r="B35" s="12">
        <v>0</v>
      </c>
      <c r="C35" s="12">
        <v>0</v>
      </c>
      <c r="D35" s="12">
        <v>0</v>
      </c>
      <c r="E35" s="12"/>
      <c r="F35" s="12">
        <v>0</v>
      </c>
      <c r="G35" s="12"/>
      <c r="H35" s="12"/>
      <c r="I35" s="12"/>
      <c r="J35" s="12"/>
      <c r="K35" s="12">
        <f t="shared" si="12"/>
        <v>0</v>
      </c>
      <c r="L35" s="12"/>
      <c r="M35" s="12"/>
      <c r="N35" s="12"/>
      <c r="O35" s="12"/>
      <c r="P35" s="12">
        <f t="shared" si="13"/>
        <v>0</v>
      </c>
      <c r="Q35" s="12"/>
      <c r="R35" s="12"/>
      <c r="S35" s="12"/>
      <c r="T35" s="12"/>
      <c r="U35" s="12">
        <v>5514.79</v>
      </c>
      <c r="V35" s="12"/>
      <c r="W35" s="12"/>
      <c r="X35" s="12"/>
      <c r="Y35" s="12"/>
      <c r="Z35" s="12">
        <f t="shared" si="14"/>
        <v>0</v>
      </c>
      <c r="AA35" s="12"/>
      <c r="AB35" s="12"/>
      <c r="AC35" s="12"/>
      <c r="AD35" s="12"/>
      <c r="AE35" s="12">
        <f t="shared" si="15"/>
        <v>0</v>
      </c>
      <c r="AF35" s="12"/>
      <c r="AG35" s="12"/>
      <c r="AH35" s="12"/>
      <c r="AI35" s="12"/>
      <c r="AJ35" s="12">
        <f t="shared" si="16"/>
        <v>0</v>
      </c>
      <c r="AK35" s="12"/>
      <c r="AL35" s="12"/>
      <c r="AM35" s="12"/>
      <c r="AN35" s="12"/>
      <c r="AO35" s="12">
        <f t="shared" si="17"/>
        <v>0</v>
      </c>
      <c r="AP35" s="12"/>
      <c r="AQ35" s="12"/>
      <c r="AR35" s="12"/>
      <c r="AS35" s="12"/>
      <c r="AT35" s="12">
        <f t="shared" si="18"/>
        <v>0</v>
      </c>
      <c r="AU35" s="12"/>
      <c r="AV35" s="12"/>
      <c r="AW35" s="12"/>
      <c r="AX35" s="12"/>
      <c r="AY35" s="12">
        <f t="shared" si="19"/>
        <v>0</v>
      </c>
      <c r="AZ35" s="12"/>
      <c r="BA35" s="12"/>
      <c r="BB35" s="12"/>
      <c r="BC35" s="12"/>
      <c r="BD35" s="12">
        <f t="shared" si="20"/>
        <v>0</v>
      </c>
      <c r="BE35" s="12"/>
      <c r="BF35" s="12"/>
      <c r="BG35" s="12"/>
      <c r="BH35" s="12"/>
      <c r="BI35" s="12">
        <f t="shared" si="21"/>
        <v>0</v>
      </c>
    </row>
    <row r="36" spans="1:61" ht="15" customHeight="1" x14ac:dyDescent="0.2">
      <c r="A36" s="11" t="s">
        <v>44</v>
      </c>
      <c r="B36" s="12">
        <v>0</v>
      </c>
      <c r="C36" s="12">
        <v>0</v>
      </c>
      <c r="D36" s="12">
        <v>0</v>
      </c>
      <c r="E36" s="12"/>
      <c r="F36" s="12">
        <v>0</v>
      </c>
      <c r="G36" s="12"/>
      <c r="H36" s="12"/>
      <c r="I36" s="12"/>
      <c r="J36" s="12"/>
      <c r="K36" s="12">
        <f t="shared" si="12"/>
        <v>0</v>
      </c>
      <c r="L36" s="12"/>
      <c r="M36" s="12"/>
      <c r="N36" s="12"/>
      <c r="O36" s="12"/>
      <c r="P36" s="12">
        <f t="shared" si="13"/>
        <v>0</v>
      </c>
      <c r="Q36" s="12"/>
      <c r="R36" s="12"/>
      <c r="S36" s="12"/>
      <c r="T36" s="12"/>
      <c r="U36" s="12">
        <v>58</v>
      </c>
      <c r="V36" s="12"/>
      <c r="W36" s="12"/>
      <c r="X36" s="12"/>
      <c r="Y36" s="12"/>
      <c r="Z36" s="12">
        <f t="shared" si="14"/>
        <v>0</v>
      </c>
      <c r="AA36" s="12"/>
      <c r="AB36" s="12"/>
      <c r="AC36" s="12"/>
      <c r="AD36" s="12"/>
      <c r="AE36" s="12">
        <f t="shared" si="15"/>
        <v>0</v>
      </c>
      <c r="AF36" s="12"/>
      <c r="AG36" s="12"/>
      <c r="AH36" s="12"/>
      <c r="AI36" s="12"/>
      <c r="AJ36" s="12">
        <f t="shared" si="16"/>
        <v>0</v>
      </c>
      <c r="AK36" s="12"/>
      <c r="AL36" s="12"/>
      <c r="AM36" s="12"/>
      <c r="AN36" s="12"/>
      <c r="AO36" s="12">
        <f t="shared" si="17"/>
        <v>0</v>
      </c>
      <c r="AP36" s="12"/>
      <c r="AQ36" s="12"/>
      <c r="AR36" s="12"/>
      <c r="AS36" s="12"/>
      <c r="AT36" s="12">
        <f t="shared" si="18"/>
        <v>0</v>
      </c>
      <c r="AU36" s="12"/>
      <c r="AV36" s="12"/>
      <c r="AW36" s="12"/>
      <c r="AX36" s="12"/>
      <c r="AY36" s="12">
        <f t="shared" si="19"/>
        <v>0</v>
      </c>
      <c r="AZ36" s="12"/>
      <c r="BA36" s="12"/>
      <c r="BB36" s="12"/>
      <c r="BC36" s="12"/>
      <c r="BD36" s="12">
        <f t="shared" si="20"/>
        <v>0</v>
      </c>
      <c r="BE36" s="12"/>
      <c r="BF36" s="12"/>
      <c r="BG36" s="12"/>
      <c r="BH36" s="12"/>
      <c r="BI36" s="12">
        <f t="shared" si="21"/>
        <v>0</v>
      </c>
    </row>
    <row r="37" spans="1:61" ht="15" customHeight="1" x14ac:dyDescent="0.2">
      <c r="A37" s="11" t="s">
        <v>45</v>
      </c>
      <c r="B37" s="12">
        <v>71.25</v>
      </c>
      <c r="C37" s="12">
        <v>71.25</v>
      </c>
      <c r="D37" s="12">
        <v>71.25</v>
      </c>
      <c r="E37" s="12"/>
      <c r="F37" s="12">
        <v>1754.16</v>
      </c>
      <c r="G37" s="12"/>
      <c r="H37" s="12"/>
      <c r="I37" s="12"/>
      <c r="J37" s="12"/>
      <c r="K37" s="12">
        <f t="shared" si="12"/>
        <v>0</v>
      </c>
      <c r="L37" s="12"/>
      <c r="M37" s="12"/>
      <c r="N37" s="12"/>
      <c r="O37" s="12"/>
      <c r="P37" s="12">
        <f t="shared" si="13"/>
        <v>0</v>
      </c>
      <c r="Q37" s="12"/>
      <c r="R37" s="12"/>
      <c r="S37" s="12"/>
      <c r="T37" s="12"/>
      <c r="U37" s="12">
        <v>0</v>
      </c>
      <c r="V37" s="12"/>
      <c r="W37" s="12"/>
      <c r="X37" s="12"/>
      <c r="Y37" s="12"/>
      <c r="Z37" s="12">
        <f t="shared" si="14"/>
        <v>0</v>
      </c>
      <c r="AA37" s="12"/>
      <c r="AB37" s="12"/>
      <c r="AC37" s="12"/>
      <c r="AD37" s="12"/>
      <c r="AE37" s="12">
        <f t="shared" si="15"/>
        <v>0</v>
      </c>
      <c r="AF37" s="12"/>
      <c r="AG37" s="12"/>
      <c r="AH37" s="12"/>
      <c r="AI37" s="12"/>
      <c r="AJ37" s="12">
        <f t="shared" si="16"/>
        <v>0</v>
      </c>
      <c r="AK37" s="12"/>
      <c r="AL37" s="12"/>
      <c r="AM37" s="12"/>
      <c r="AN37" s="12"/>
      <c r="AO37" s="12">
        <f t="shared" si="17"/>
        <v>0</v>
      </c>
      <c r="AP37" s="12"/>
      <c r="AQ37" s="12"/>
      <c r="AR37" s="12"/>
      <c r="AS37" s="12"/>
      <c r="AT37" s="12">
        <f t="shared" si="18"/>
        <v>0</v>
      </c>
      <c r="AU37" s="12"/>
      <c r="AV37" s="12"/>
      <c r="AW37" s="12"/>
      <c r="AX37" s="12"/>
      <c r="AY37" s="12">
        <f t="shared" si="19"/>
        <v>0</v>
      </c>
      <c r="AZ37" s="12"/>
      <c r="BA37" s="12"/>
      <c r="BB37" s="12"/>
      <c r="BC37" s="12"/>
      <c r="BD37" s="12">
        <f t="shared" si="20"/>
        <v>0</v>
      </c>
      <c r="BE37" s="12"/>
      <c r="BF37" s="12"/>
      <c r="BG37" s="12"/>
      <c r="BH37" s="12"/>
      <c r="BI37" s="12">
        <f t="shared" si="21"/>
        <v>0</v>
      </c>
    </row>
    <row r="38" spans="1:61" ht="15.75" customHeight="1" x14ac:dyDescent="0.2">
      <c r="A38" s="24" t="s">
        <v>46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ht="15" customHeight="1" x14ac:dyDescent="0.2">
      <c r="A39" s="11" t="s">
        <v>47</v>
      </c>
      <c r="B39" s="12">
        <v>855.91</v>
      </c>
      <c r="C39" s="12">
        <v>855.91</v>
      </c>
      <c r="D39" s="12">
        <v>855.91</v>
      </c>
      <c r="E39" s="12"/>
      <c r="F39" s="12">
        <v>3000</v>
      </c>
      <c r="G39" s="12"/>
      <c r="H39" s="12"/>
      <c r="I39" s="12"/>
      <c r="J39" s="12"/>
      <c r="K39" s="12">
        <f t="shared" ref="K39:K46" si="22">SUM(G39:J39)</f>
        <v>0</v>
      </c>
      <c r="L39" s="12"/>
      <c r="M39" s="12"/>
      <c r="N39" s="12"/>
      <c r="O39" s="12"/>
      <c r="P39" s="12">
        <f t="shared" ref="P39:P46" si="23">SUM(L39:O39)</f>
        <v>0</v>
      </c>
      <c r="Q39" s="12"/>
      <c r="R39" s="12"/>
      <c r="S39" s="12"/>
      <c r="T39" s="12"/>
      <c r="U39" s="12">
        <v>0</v>
      </c>
      <c r="V39" s="12"/>
      <c r="W39" s="12"/>
      <c r="X39" s="12"/>
      <c r="Y39" s="12"/>
      <c r="Z39" s="12">
        <f t="shared" ref="Z39:Z46" si="24">SUM(V39:Y39)</f>
        <v>0</v>
      </c>
      <c r="AA39" s="12"/>
      <c r="AB39" s="12"/>
      <c r="AC39" s="12"/>
      <c r="AD39" s="12"/>
      <c r="AE39" s="12">
        <f t="shared" ref="AE39:AE46" si="25">SUM(AA39:AD39)</f>
        <v>0</v>
      </c>
      <c r="AF39" s="12"/>
      <c r="AG39" s="12"/>
      <c r="AH39" s="12"/>
      <c r="AI39" s="12"/>
      <c r="AJ39" s="12">
        <f t="shared" ref="AJ39:AJ46" si="26">SUM(AF39:AI39)</f>
        <v>0</v>
      </c>
      <c r="AK39" s="12"/>
      <c r="AL39" s="12"/>
      <c r="AM39" s="12"/>
      <c r="AN39" s="12"/>
      <c r="AO39" s="12">
        <f t="shared" ref="AO39:AO46" si="27">SUM(AK39:AN39)</f>
        <v>0</v>
      </c>
      <c r="AP39" s="12"/>
      <c r="AQ39" s="12"/>
      <c r="AR39" s="12"/>
      <c r="AS39" s="12"/>
      <c r="AT39" s="12">
        <f t="shared" ref="AT39:AT46" si="28">SUM(AP39:AS39)</f>
        <v>0</v>
      </c>
      <c r="AU39" s="12"/>
      <c r="AV39" s="12"/>
      <c r="AW39" s="12"/>
      <c r="AX39" s="12"/>
      <c r="AY39" s="12">
        <f t="shared" ref="AY39:AY46" si="29">SUM(AU39:AX39)</f>
        <v>0</v>
      </c>
      <c r="AZ39" s="12"/>
      <c r="BA39" s="12"/>
      <c r="BB39" s="12"/>
      <c r="BC39" s="12"/>
      <c r="BD39" s="12">
        <f t="shared" ref="BD39:BD46" si="30">SUM(AZ39:BC39)</f>
        <v>0</v>
      </c>
      <c r="BE39" s="12"/>
      <c r="BF39" s="12"/>
      <c r="BG39" s="12"/>
      <c r="BH39" s="12"/>
      <c r="BI39" s="12">
        <f t="shared" ref="BI39:BI46" si="31">SUM(BE39:BH39)</f>
        <v>0</v>
      </c>
    </row>
    <row r="40" spans="1:61" ht="15" customHeight="1" x14ac:dyDescent="0.2">
      <c r="A40" s="11" t="s">
        <v>48</v>
      </c>
      <c r="B40" s="12">
        <v>7678.23</v>
      </c>
      <c r="C40" s="12">
        <v>7973.42</v>
      </c>
      <c r="D40" s="12">
        <v>8746.19</v>
      </c>
      <c r="E40" s="12"/>
      <c r="F40" s="12">
        <v>36429.71</v>
      </c>
      <c r="G40" s="12"/>
      <c r="H40" s="12"/>
      <c r="I40" s="12"/>
      <c r="J40" s="12"/>
      <c r="K40" s="12">
        <f t="shared" si="22"/>
        <v>0</v>
      </c>
      <c r="L40" s="12"/>
      <c r="M40" s="12"/>
      <c r="N40" s="12"/>
      <c r="O40" s="12"/>
      <c r="P40" s="12">
        <f t="shared" si="23"/>
        <v>0</v>
      </c>
      <c r="Q40" s="12"/>
      <c r="R40" s="12"/>
      <c r="S40" s="12"/>
      <c r="T40" s="12"/>
      <c r="U40" s="12">
        <f>SUM(Q40:T40)</f>
        <v>0</v>
      </c>
      <c r="V40" s="12"/>
      <c r="W40" s="12"/>
      <c r="X40" s="12"/>
      <c r="Y40" s="12"/>
      <c r="Z40" s="12">
        <f t="shared" si="24"/>
        <v>0</v>
      </c>
      <c r="AA40" s="12"/>
      <c r="AB40" s="12"/>
      <c r="AC40" s="12"/>
      <c r="AD40" s="12"/>
      <c r="AE40" s="12">
        <f t="shared" si="25"/>
        <v>0</v>
      </c>
      <c r="AF40" s="12"/>
      <c r="AG40" s="12"/>
      <c r="AH40" s="12"/>
      <c r="AI40" s="12"/>
      <c r="AJ40" s="12">
        <f t="shared" si="26"/>
        <v>0</v>
      </c>
      <c r="AK40" s="12"/>
      <c r="AL40" s="12"/>
      <c r="AM40" s="12"/>
      <c r="AN40" s="12"/>
      <c r="AO40" s="12">
        <f t="shared" si="27"/>
        <v>0</v>
      </c>
      <c r="AP40" s="12"/>
      <c r="AQ40" s="12"/>
      <c r="AR40" s="12"/>
      <c r="AS40" s="12"/>
      <c r="AT40" s="12">
        <f t="shared" si="28"/>
        <v>0</v>
      </c>
      <c r="AU40" s="12"/>
      <c r="AV40" s="12"/>
      <c r="AW40" s="12"/>
      <c r="AX40" s="12"/>
      <c r="AY40" s="12">
        <f t="shared" si="29"/>
        <v>0</v>
      </c>
      <c r="AZ40" s="12"/>
      <c r="BA40" s="12"/>
      <c r="BB40" s="12"/>
      <c r="BC40" s="12"/>
      <c r="BD40" s="12">
        <f t="shared" si="30"/>
        <v>0</v>
      </c>
      <c r="BE40" s="12"/>
      <c r="BF40" s="12"/>
      <c r="BG40" s="12"/>
      <c r="BH40" s="12"/>
      <c r="BI40" s="12">
        <f t="shared" si="31"/>
        <v>0</v>
      </c>
    </row>
    <row r="41" spans="1:61" ht="15" customHeight="1" x14ac:dyDescent="0.2">
      <c r="A41" s="11" t="s">
        <v>49</v>
      </c>
      <c r="B41" s="12">
        <v>125</v>
      </c>
      <c r="C41" s="12">
        <v>125</v>
      </c>
      <c r="D41" s="12">
        <v>125</v>
      </c>
      <c r="E41" s="12"/>
      <c r="F41" s="12">
        <v>300</v>
      </c>
      <c r="G41" s="12"/>
      <c r="H41" s="12"/>
      <c r="I41" s="12"/>
      <c r="J41" s="12"/>
      <c r="K41" s="12">
        <f t="shared" si="22"/>
        <v>0</v>
      </c>
      <c r="L41" s="12"/>
      <c r="M41" s="12"/>
      <c r="N41" s="12"/>
      <c r="O41" s="12"/>
      <c r="P41" s="12">
        <f t="shared" si="23"/>
        <v>0</v>
      </c>
      <c r="Q41" s="12"/>
      <c r="R41" s="12"/>
      <c r="S41" s="12"/>
      <c r="T41" s="12"/>
      <c r="U41" s="12">
        <v>304.89999999999998</v>
      </c>
      <c r="V41" s="12"/>
      <c r="W41" s="12"/>
      <c r="X41" s="12"/>
      <c r="Y41" s="12"/>
      <c r="Z41" s="12">
        <f t="shared" si="24"/>
        <v>0</v>
      </c>
      <c r="AA41" s="12"/>
      <c r="AB41" s="12"/>
      <c r="AC41" s="12"/>
      <c r="AD41" s="12"/>
      <c r="AE41" s="12">
        <f t="shared" si="25"/>
        <v>0</v>
      </c>
      <c r="AF41" s="12"/>
      <c r="AG41" s="12"/>
      <c r="AH41" s="12"/>
      <c r="AI41" s="12"/>
      <c r="AJ41" s="12">
        <f t="shared" si="26"/>
        <v>0</v>
      </c>
      <c r="AK41" s="12"/>
      <c r="AL41" s="12"/>
      <c r="AM41" s="12"/>
      <c r="AN41" s="12"/>
      <c r="AO41" s="12">
        <f t="shared" si="27"/>
        <v>0</v>
      </c>
      <c r="AP41" s="12"/>
      <c r="AQ41" s="12"/>
      <c r="AR41" s="12"/>
      <c r="AS41" s="12"/>
      <c r="AT41" s="12">
        <f t="shared" si="28"/>
        <v>0</v>
      </c>
      <c r="AU41" s="12"/>
      <c r="AV41" s="12"/>
      <c r="AW41" s="12"/>
      <c r="AX41" s="12"/>
      <c r="AY41" s="12">
        <f t="shared" si="29"/>
        <v>0</v>
      </c>
      <c r="AZ41" s="12"/>
      <c r="BA41" s="12"/>
      <c r="BB41" s="12"/>
      <c r="BC41" s="12"/>
      <c r="BD41" s="12">
        <f t="shared" si="30"/>
        <v>0</v>
      </c>
      <c r="BE41" s="12"/>
      <c r="BF41" s="12"/>
      <c r="BG41" s="12"/>
      <c r="BH41" s="12"/>
      <c r="BI41" s="12">
        <f t="shared" si="31"/>
        <v>0</v>
      </c>
    </row>
    <row r="42" spans="1:61" ht="15" customHeight="1" x14ac:dyDescent="0.2">
      <c r="A42" s="11" t="s">
        <v>50</v>
      </c>
      <c r="B42" s="12">
        <v>3079.15</v>
      </c>
      <c r="C42" s="12">
        <v>4417.38</v>
      </c>
      <c r="D42" s="12">
        <v>5233.78</v>
      </c>
      <c r="E42" s="12"/>
      <c r="F42" s="12">
        <v>19299.919999999998</v>
      </c>
      <c r="G42" s="12"/>
      <c r="H42" s="12"/>
      <c r="I42" s="12"/>
      <c r="J42" s="12"/>
      <c r="K42" s="12">
        <f t="shared" si="22"/>
        <v>0</v>
      </c>
      <c r="L42" s="12"/>
      <c r="M42" s="12"/>
      <c r="N42" s="12"/>
      <c r="O42" s="12"/>
      <c r="P42" s="12">
        <f t="shared" si="23"/>
        <v>0</v>
      </c>
      <c r="Q42" s="12"/>
      <c r="R42" s="12"/>
      <c r="S42" s="12"/>
      <c r="T42" s="12"/>
      <c r="U42" s="12">
        <v>17380.39</v>
      </c>
      <c r="V42" s="12"/>
      <c r="W42" s="12"/>
      <c r="X42" s="12"/>
      <c r="Y42" s="12"/>
      <c r="Z42" s="12">
        <f t="shared" si="24"/>
        <v>0</v>
      </c>
      <c r="AA42" s="12"/>
      <c r="AB42" s="12"/>
      <c r="AC42" s="12"/>
      <c r="AD42" s="12"/>
      <c r="AE42" s="12">
        <f t="shared" si="25"/>
        <v>0</v>
      </c>
      <c r="AF42" s="12"/>
      <c r="AG42" s="12"/>
      <c r="AH42" s="12"/>
      <c r="AI42" s="12"/>
      <c r="AJ42" s="12">
        <f t="shared" si="26"/>
        <v>0</v>
      </c>
      <c r="AK42" s="12"/>
      <c r="AL42" s="12"/>
      <c r="AM42" s="12"/>
      <c r="AN42" s="12"/>
      <c r="AO42" s="12">
        <f t="shared" si="27"/>
        <v>0</v>
      </c>
      <c r="AP42" s="12"/>
      <c r="AQ42" s="12"/>
      <c r="AR42" s="12"/>
      <c r="AS42" s="12"/>
      <c r="AT42" s="12">
        <f t="shared" si="28"/>
        <v>0</v>
      </c>
      <c r="AU42" s="12"/>
      <c r="AV42" s="12"/>
      <c r="AW42" s="12"/>
      <c r="AX42" s="12"/>
      <c r="AY42" s="12">
        <f t="shared" si="29"/>
        <v>0</v>
      </c>
      <c r="AZ42" s="12"/>
      <c r="BA42" s="12"/>
      <c r="BB42" s="12"/>
      <c r="BC42" s="12"/>
      <c r="BD42" s="12">
        <f t="shared" si="30"/>
        <v>0</v>
      </c>
      <c r="BE42" s="12"/>
      <c r="BF42" s="12"/>
      <c r="BG42" s="12"/>
      <c r="BH42" s="12"/>
      <c r="BI42" s="12">
        <f t="shared" si="31"/>
        <v>0</v>
      </c>
    </row>
    <row r="43" spans="1:61" ht="15" customHeight="1" x14ac:dyDescent="0.2">
      <c r="A43" s="11" t="s">
        <v>51</v>
      </c>
      <c r="B43" s="12">
        <v>0</v>
      </c>
      <c r="C43" s="12">
        <v>0</v>
      </c>
      <c r="D43" s="12">
        <v>0</v>
      </c>
      <c r="E43" s="12"/>
      <c r="F43" s="12">
        <v>0</v>
      </c>
      <c r="G43" s="12"/>
      <c r="H43" s="12"/>
      <c r="I43" s="12"/>
      <c r="J43" s="12"/>
      <c r="K43" s="12">
        <f t="shared" si="22"/>
        <v>0</v>
      </c>
      <c r="L43" s="12"/>
      <c r="M43" s="12"/>
      <c r="N43" s="12"/>
      <c r="O43" s="12"/>
      <c r="P43" s="12">
        <f t="shared" si="23"/>
        <v>0</v>
      </c>
      <c r="Q43" s="12"/>
      <c r="R43" s="12"/>
      <c r="S43" s="12"/>
      <c r="T43" s="12"/>
      <c r="U43" s="12">
        <v>0</v>
      </c>
      <c r="V43" s="12"/>
      <c r="W43" s="12"/>
      <c r="X43" s="12"/>
      <c r="Y43" s="12"/>
      <c r="Z43" s="12">
        <f t="shared" si="24"/>
        <v>0</v>
      </c>
      <c r="AA43" s="12"/>
      <c r="AB43" s="12"/>
      <c r="AC43" s="12"/>
      <c r="AD43" s="12"/>
      <c r="AE43" s="12">
        <f t="shared" si="25"/>
        <v>0</v>
      </c>
      <c r="AF43" s="12"/>
      <c r="AG43" s="12"/>
      <c r="AH43" s="12"/>
      <c r="AI43" s="12"/>
      <c r="AJ43" s="12">
        <f t="shared" si="26"/>
        <v>0</v>
      </c>
      <c r="AK43" s="12"/>
      <c r="AL43" s="12"/>
      <c r="AM43" s="12"/>
      <c r="AN43" s="12"/>
      <c r="AO43" s="12">
        <f t="shared" si="27"/>
        <v>0</v>
      </c>
      <c r="AP43" s="12"/>
      <c r="AQ43" s="12"/>
      <c r="AR43" s="12"/>
      <c r="AS43" s="12"/>
      <c r="AT43" s="12">
        <f t="shared" si="28"/>
        <v>0</v>
      </c>
      <c r="AU43" s="12"/>
      <c r="AV43" s="12"/>
      <c r="AW43" s="12"/>
      <c r="AX43" s="12"/>
      <c r="AY43" s="12">
        <f t="shared" si="29"/>
        <v>0</v>
      </c>
      <c r="AZ43" s="12"/>
      <c r="BA43" s="12"/>
      <c r="BB43" s="12"/>
      <c r="BC43" s="12"/>
      <c r="BD43" s="12">
        <f t="shared" si="30"/>
        <v>0</v>
      </c>
      <c r="BE43" s="12"/>
      <c r="BF43" s="12"/>
      <c r="BG43" s="12"/>
      <c r="BH43" s="12"/>
      <c r="BI43" s="12">
        <f t="shared" si="31"/>
        <v>0</v>
      </c>
    </row>
    <row r="44" spans="1:61" ht="15" customHeight="1" x14ac:dyDescent="0.2">
      <c r="A44" s="11" t="s">
        <v>52</v>
      </c>
      <c r="B44" s="12">
        <v>232.29</v>
      </c>
      <c r="C44" s="12">
        <v>132.78</v>
      </c>
      <c r="D44" s="12">
        <v>150.94</v>
      </c>
      <c r="E44" s="12"/>
      <c r="F44" s="12">
        <v>932.26</v>
      </c>
      <c r="G44" s="12"/>
      <c r="H44" s="12"/>
      <c r="I44" s="12"/>
      <c r="J44" s="12"/>
      <c r="K44" s="12">
        <f t="shared" si="22"/>
        <v>0</v>
      </c>
      <c r="L44" s="12"/>
      <c r="M44" s="12"/>
      <c r="N44" s="12"/>
      <c r="O44" s="12"/>
      <c r="P44" s="12">
        <f t="shared" si="23"/>
        <v>0</v>
      </c>
      <c r="Q44" s="12"/>
      <c r="R44" s="12"/>
      <c r="S44" s="12"/>
      <c r="T44" s="12"/>
      <c r="U44" s="12">
        <v>115531.68</v>
      </c>
      <c r="V44" s="12"/>
      <c r="W44" s="12"/>
      <c r="X44" s="12"/>
      <c r="Y44" s="12"/>
      <c r="Z44" s="12">
        <f t="shared" si="24"/>
        <v>0</v>
      </c>
      <c r="AA44" s="12"/>
      <c r="AB44" s="12"/>
      <c r="AC44" s="12"/>
      <c r="AD44" s="12"/>
      <c r="AE44" s="12">
        <f t="shared" si="25"/>
        <v>0</v>
      </c>
      <c r="AF44" s="12"/>
      <c r="AG44" s="12"/>
      <c r="AH44" s="12"/>
      <c r="AI44" s="12"/>
      <c r="AJ44" s="12">
        <f t="shared" si="26"/>
        <v>0</v>
      </c>
      <c r="AK44" s="12"/>
      <c r="AL44" s="12"/>
      <c r="AM44" s="12"/>
      <c r="AN44" s="12"/>
      <c r="AO44" s="12">
        <f t="shared" si="27"/>
        <v>0</v>
      </c>
      <c r="AP44" s="12"/>
      <c r="AQ44" s="12"/>
      <c r="AR44" s="12"/>
      <c r="AS44" s="12"/>
      <c r="AT44" s="12">
        <f t="shared" si="28"/>
        <v>0</v>
      </c>
      <c r="AU44" s="12"/>
      <c r="AV44" s="12"/>
      <c r="AW44" s="12"/>
      <c r="AX44" s="12"/>
      <c r="AY44" s="12">
        <f t="shared" si="29"/>
        <v>0</v>
      </c>
      <c r="AZ44" s="12"/>
      <c r="BA44" s="12"/>
      <c r="BB44" s="12"/>
      <c r="BC44" s="12"/>
      <c r="BD44" s="12">
        <f t="shared" si="30"/>
        <v>0</v>
      </c>
      <c r="BE44" s="12"/>
      <c r="BF44" s="12"/>
      <c r="BG44" s="12"/>
      <c r="BH44" s="12"/>
      <c r="BI44" s="12">
        <f t="shared" si="31"/>
        <v>0</v>
      </c>
    </row>
    <row r="45" spans="1:61" ht="15" customHeight="1" x14ac:dyDescent="0.2">
      <c r="A45" s="11" t="s">
        <v>53</v>
      </c>
      <c r="B45" s="12">
        <v>157.88999999999999</v>
      </c>
      <c r="C45" s="12">
        <v>157.88999999999999</v>
      </c>
      <c r="D45" s="12">
        <v>157.88999999999999</v>
      </c>
      <c r="E45" s="12"/>
      <c r="F45" s="12">
        <v>0</v>
      </c>
      <c r="G45" s="12"/>
      <c r="H45" s="12"/>
      <c r="I45" s="12"/>
      <c r="J45" s="12"/>
      <c r="K45" s="12">
        <f t="shared" si="22"/>
        <v>0</v>
      </c>
      <c r="L45" s="12"/>
      <c r="M45" s="12"/>
      <c r="N45" s="12"/>
      <c r="O45" s="12"/>
      <c r="P45" s="12">
        <f t="shared" si="23"/>
        <v>0</v>
      </c>
      <c r="Q45" s="12"/>
      <c r="R45" s="12"/>
      <c r="S45" s="12"/>
      <c r="T45" s="12"/>
      <c r="U45" s="12">
        <v>0</v>
      </c>
      <c r="V45" s="12"/>
      <c r="W45" s="12"/>
      <c r="X45" s="12"/>
      <c r="Y45" s="12"/>
      <c r="Z45" s="12">
        <f t="shared" si="24"/>
        <v>0</v>
      </c>
      <c r="AA45" s="12"/>
      <c r="AB45" s="12"/>
      <c r="AC45" s="12"/>
      <c r="AD45" s="12"/>
      <c r="AE45" s="12">
        <f t="shared" si="25"/>
        <v>0</v>
      </c>
      <c r="AF45" s="12"/>
      <c r="AG45" s="12"/>
      <c r="AH45" s="12"/>
      <c r="AI45" s="12"/>
      <c r="AJ45" s="12">
        <f t="shared" si="26"/>
        <v>0</v>
      </c>
      <c r="AK45" s="12"/>
      <c r="AL45" s="12"/>
      <c r="AM45" s="12"/>
      <c r="AN45" s="12"/>
      <c r="AO45" s="12">
        <f t="shared" si="27"/>
        <v>0</v>
      </c>
      <c r="AP45" s="12"/>
      <c r="AQ45" s="12"/>
      <c r="AR45" s="12"/>
      <c r="AS45" s="12"/>
      <c r="AT45" s="12">
        <f t="shared" si="28"/>
        <v>0</v>
      </c>
      <c r="AU45" s="12"/>
      <c r="AV45" s="12"/>
      <c r="AW45" s="12"/>
      <c r="AX45" s="12"/>
      <c r="AY45" s="12">
        <f t="shared" si="29"/>
        <v>0</v>
      </c>
      <c r="AZ45" s="12"/>
      <c r="BA45" s="12"/>
      <c r="BB45" s="12"/>
      <c r="BC45" s="12"/>
      <c r="BD45" s="12">
        <f t="shared" si="30"/>
        <v>0</v>
      </c>
      <c r="BE45" s="12"/>
      <c r="BF45" s="12"/>
      <c r="BG45" s="12"/>
      <c r="BH45" s="12"/>
      <c r="BI45" s="12">
        <f t="shared" si="31"/>
        <v>0</v>
      </c>
    </row>
    <row r="46" spans="1:61" ht="15" customHeight="1" x14ac:dyDescent="0.2">
      <c r="A46" s="11" t="s">
        <v>54</v>
      </c>
      <c r="B46" s="12">
        <v>4442.55</v>
      </c>
      <c r="C46" s="12">
        <v>4912.5200000000004</v>
      </c>
      <c r="D46" s="12">
        <v>5332.83</v>
      </c>
      <c r="E46" s="12"/>
      <c r="F46" s="12">
        <v>21016.37</v>
      </c>
      <c r="G46" s="12"/>
      <c r="H46" s="12"/>
      <c r="I46" s="12"/>
      <c r="J46" s="12"/>
      <c r="K46" s="12">
        <f t="shared" si="22"/>
        <v>0</v>
      </c>
      <c r="L46" s="12"/>
      <c r="M46" s="12"/>
      <c r="N46" s="12"/>
      <c r="O46" s="12"/>
      <c r="P46" s="12">
        <f t="shared" si="23"/>
        <v>0</v>
      </c>
      <c r="Q46" s="12"/>
      <c r="R46" s="12"/>
      <c r="S46" s="12"/>
      <c r="T46" s="12"/>
      <c r="U46" s="12">
        <f>SUM(Q46:T46)</f>
        <v>0</v>
      </c>
      <c r="V46" s="12"/>
      <c r="W46" s="12"/>
      <c r="X46" s="12"/>
      <c r="Y46" s="12"/>
      <c r="Z46" s="12">
        <f t="shared" si="24"/>
        <v>0</v>
      </c>
      <c r="AA46" s="12"/>
      <c r="AB46" s="12"/>
      <c r="AC46" s="12"/>
      <c r="AD46" s="12"/>
      <c r="AE46" s="12">
        <f t="shared" si="25"/>
        <v>0</v>
      </c>
      <c r="AF46" s="12"/>
      <c r="AG46" s="12"/>
      <c r="AH46" s="12"/>
      <c r="AI46" s="12"/>
      <c r="AJ46" s="12">
        <f t="shared" si="26"/>
        <v>0</v>
      </c>
      <c r="AK46" s="12"/>
      <c r="AL46" s="12"/>
      <c r="AM46" s="12"/>
      <c r="AN46" s="12"/>
      <c r="AO46" s="12">
        <f t="shared" si="27"/>
        <v>0</v>
      </c>
      <c r="AP46" s="12"/>
      <c r="AQ46" s="12"/>
      <c r="AR46" s="12"/>
      <c r="AS46" s="12"/>
      <c r="AT46" s="12">
        <f t="shared" si="28"/>
        <v>0</v>
      </c>
      <c r="AU46" s="12"/>
      <c r="AV46" s="12"/>
      <c r="AW46" s="12"/>
      <c r="AX46" s="12"/>
      <c r="AY46" s="12">
        <f t="shared" si="29"/>
        <v>0</v>
      </c>
      <c r="AZ46" s="12"/>
      <c r="BA46" s="12"/>
      <c r="BB46" s="12"/>
      <c r="BC46" s="12"/>
      <c r="BD46" s="12">
        <f t="shared" si="30"/>
        <v>0</v>
      </c>
      <c r="BE46" s="12"/>
      <c r="BF46" s="12"/>
      <c r="BG46" s="12"/>
      <c r="BH46" s="12"/>
      <c r="BI46" s="12">
        <f t="shared" si="31"/>
        <v>0</v>
      </c>
    </row>
    <row r="47" spans="1:61" ht="15.75" customHeight="1" x14ac:dyDescent="0.2">
      <c r="A47" s="13" t="s">
        <v>55</v>
      </c>
      <c r="B47" s="14">
        <f t="shared" ref="B47:AG47" si="32">SUM(B32:B37)+SUM(B39:B46)</f>
        <v>24092.27</v>
      </c>
      <c r="C47" s="14">
        <f t="shared" si="32"/>
        <v>26096.15</v>
      </c>
      <c r="D47" s="14">
        <f t="shared" si="32"/>
        <v>28123.79</v>
      </c>
      <c r="E47" s="14">
        <f t="shared" si="32"/>
        <v>0</v>
      </c>
      <c r="F47" s="14">
        <f t="shared" si="32"/>
        <v>113732.42</v>
      </c>
      <c r="G47" s="14">
        <f t="shared" si="32"/>
        <v>0</v>
      </c>
      <c r="H47" s="14">
        <f t="shared" si="32"/>
        <v>0</v>
      </c>
      <c r="I47" s="14">
        <f t="shared" si="32"/>
        <v>0</v>
      </c>
      <c r="J47" s="14">
        <f t="shared" si="32"/>
        <v>0</v>
      </c>
      <c r="K47" s="14">
        <f t="shared" si="32"/>
        <v>0</v>
      </c>
      <c r="L47" s="14">
        <f t="shared" si="32"/>
        <v>0</v>
      </c>
      <c r="M47" s="14">
        <f t="shared" si="32"/>
        <v>0</v>
      </c>
      <c r="N47" s="14">
        <f t="shared" si="32"/>
        <v>0</v>
      </c>
      <c r="O47" s="14">
        <f t="shared" si="32"/>
        <v>0</v>
      </c>
      <c r="P47" s="14">
        <f t="shared" si="32"/>
        <v>0</v>
      </c>
      <c r="Q47" s="14">
        <f t="shared" si="32"/>
        <v>0</v>
      </c>
      <c r="R47" s="14">
        <f t="shared" si="32"/>
        <v>0</v>
      </c>
      <c r="S47" s="14">
        <f t="shared" si="32"/>
        <v>0</v>
      </c>
      <c r="T47" s="14">
        <f t="shared" si="32"/>
        <v>0</v>
      </c>
      <c r="U47" s="14">
        <f t="shared" si="32"/>
        <v>166199.97</v>
      </c>
      <c r="V47" s="14">
        <f t="shared" si="32"/>
        <v>0</v>
      </c>
      <c r="W47" s="14">
        <f t="shared" si="32"/>
        <v>0</v>
      </c>
      <c r="X47" s="14">
        <f t="shared" si="32"/>
        <v>0</v>
      </c>
      <c r="Y47" s="14">
        <f t="shared" si="32"/>
        <v>0</v>
      </c>
      <c r="Z47" s="14">
        <f t="shared" si="32"/>
        <v>0</v>
      </c>
      <c r="AA47" s="14">
        <f t="shared" si="32"/>
        <v>0</v>
      </c>
      <c r="AB47" s="14">
        <f t="shared" si="32"/>
        <v>0</v>
      </c>
      <c r="AC47" s="14">
        <f t="shared" si="32"/>
        <v>0</v>
      </c>
      <c r="AD47" s="14">
        <f t="shared" si="32"/>
        <v>0</v>
      </c>
      <c r="AE47" s="14">
        <f t="shared" si="32"/>
        <v>0</v>
      </c>
      <c r="AF47" s="14">
        <f t="shared" si="32"/>
        <v>0</v>
      </c>
      <c r="AG47" s="14">
        <f t="shared" si="32"/>
        <v>0</v>
      </c>
      <c r="AH47" s="14">
        <f t="shared" ref="AH47:BM47" si="33">SUM(AH32:AH37)+SUM(AH39:AH46)</f>
        <v>0</v>
      </c>
      <c r="AI47" s="14">
        <f t="shared" si="33"/>
        <v>0</v>
      </c>
      <c r="AJ47" s="14">
        <f t="shared" si="33"/>
        <v>0</v>
      </c>
      <c r="AK47" s="14">
        <f t="shared" si="33"/>
        <v>0</v>
      </c>
      <c r="AL47" s="14">
        <f t="shared" si="33"/>
        <v>0</v>
      </c>
      <c r="AM47" s="14">
        <f t="shared" si="33"/>
        <v>0</v>
      </c>
      <c r="AN47" s="14">
        <f t="shared" si="33"/>
        <v>0</v>
      </c>
      <c r="AO47" s="14">
        <f t="shared" si="33"/>
        <v>0</v>
      </c>
      <c r="AP47" s="14">
        <f t="shared" si="33"/>
        <v>0</v>
      </c>
      <c r="AQ47" s="14">
        <f t="shared" si="33"/>
        <v>0</v>
      </c>
      <c r="AR47" s="14">
        <f t="shared" si="33"/>
        <v>0</v>
      </c>
      <c r="AS47" s="14">
        <f t="shared" si="33"/>
        <v>0</v>
      </c>
      <c r="AT47" s="14">
        <f t="shared" si="33"/>
        <v>0</v>
      </c>
      <c r="AU47" s="14">
        <f t="shared" si="33"/>
        <v>0</v>
      </c>
      <c r="AV47" s="14">
        <f t="shared" si="33"/>
        <v>0</v>
      </c>
      <c r="AW47" s="14">
        <f t="shared" si="33"/>
        <v>0</v>
      </c>
      <c r="AX47" s="14">
        <f t="shared" si="33"/>
        <v>0</v>
      </c>
      <c r="AY47" s="14">
        <f t="shared" si="33"/>
        <v>0</v>
      </c>
      <c r="AZ47" s="14">
        <f t="shared" si="33"/>
        <v>0</v>
      </c>
      <c r="BA47" s="14">
        <f t="shared" si="33"/>
        <v>0</v>
      </c>
      <c r="BB47" s="14">
        <f t="shared" si="33"/>
        <v>0</v>
      </c>
      <c r="BC47" s="14">
        <f t="shared" si="33"/>
        <v>0</v>
      </c>
      <c r="BD47" s="14">
        <f t="shared" si="33"/>
        <v>0</v>
      </c>
      <c r="BE47" s="14">
        <f t="shared" si="33"/>
        <v>0</v>
      </c>
      <c r="BF47" s="14">
        <f t="shared" si="33"/>
        <v>0</v>
      </c>
      <c r="BG47" s="14">
        <f t="shared" si="33"/>
        <v>0</v>
      </c>
      <c r="BH47" s="14">
        <f t="shared" si="33"/>
        <v>0</v>
      </c>
      <c r="BI47" s="14">
        <f t="shared" si="33"/>
        <v>0</v>
      </c>
    </row>
    <row r="48" spans="1:61" ht="15" customHeight="1" x14ac:dyDescent="0.2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s="19" customFormat="1" ht="21" customHeight="1" x14ac:dyDescent="0.2">
      <c r="A49" s="20" t="s">
        <v>56</v>
      </c>
      <c r="B49" s="21">
        <f t="shared" ref="B49:AG49" si="34">B27-B47</f>
        <v>-3178.8500000000022</v>
      </c>
      <c r="C49" s="21">
        <f t="shared" si="34"/>
        <v>-12550.549999999996</v>
      </c>
      <c r="D49" s="21">
        <f t="shared" si="34"/>
        <v>-3797.0299999999952</v>
      </c>
      <c r="E49" s="21">
        <f t="shared" si="34"/>
        <v>0</v>
      </c>
      <c r="F49" s="21">
        <f t="shared" si="34"/>
        <v>-21981.249999999985</v>
      </c>
      <c r="G49" s="21">
        <f t="shared" si="34"/>
        <v>0</v>
      </c>
      <c r="H49" s="21">
        <f t="shared" si="34"/>
        <v>0</v>
      </c>
      <c r="I49" s="21">
        <f t="shared" si="34"/>
        <v>0</v>
      </c>
      <c r="J49" s="21">
        <f t="shared" si="34"/>
        <v>0</v>
      </c>
      <c r="K49" s="21">
        <f t="shared" si="34"/>
        <v>0</v>
      </c>
      <c r="L49" s="21">
        <f t="shared" si="34"/>
        <v>0</v>
      </c>
      <c r="M49" s="21">
        <f t="shared" si="34"/>
        <v>0</v>
      </c>
      <c r="N49" s="21">
        <f t="shared" si="34"/>
        <v>0</v>
      </c>
      <c r="O49" s="21">
        <f t="shared" si="34"/>
        <v>0</v>
      </c>
      <c r="P49" s="21">
        <f t="shared" si="34"/>
        <v>0</v>
      </c>
      <c r="Q49" s="21">
        <f t="shared" si="34"/>
        <v>0</v>
      </c>
      <c r="R49" s="21">
        <f t="shared" si="34"/>
        <v>0</v>
      </c>
      <c r="S49" s="21">
        <f t="shared" si="34"/>
        <v>0</v>
      </c>
      <c r="T49" s="21">
        <f t="shared" si="34"/>
        <v>0</v>
      </c>
      <c r="U49" s="21">
        <f t="shared" si="34"/>
        <v>26255.193500000023</v>
      </c>
      <c r="V49" s="21">
        <f t="shared" si="34"/>
        <v>0</v>
      </c>
      <c r="W49" s="21">
        <f t="shared" si="34"/>
        <v>0</v>
      </c>
      <c r="X49" s="21">
        <f t="shared" si="34"/>
        <v>0</v>
      </c>
      <c r="Y49" s="21">
        <f t="shared" si="34"/>
        <v>0</v>
      </c>
      <c r="Z49" s="21">
        <f t="shared" si="34"/>
        <v>0</v>
      </c>
      <c r="AA49" s="21">
        <f t="shared" si="34"/>
        <v>0</v>
      </c>
      <c r="AB49" s="21">
        <f t="shared" si="34"/>
        <v>0</v>
      </c>
      <c r="AC49" s="21">
        <f t="shared" si="34"/>
        <v>0</v>
      </c>
      <c r="AD49" s="21">
        <f t="shared" si="34"/>
        <v>0</v>
      </c>
      <c r="AE49" s="21">
        <f t="shared" si="34"/>
        <v>0</v>
      </c>
      <c r="AF49" s="21">
        <f t="shared" si="34"/>
        <v>0</v>
      </c>
      <c r="AG49" s="21">
        <f t="shared" si="34"/>
        <v>0</v>
      </c>
      <c r="AH49" s="21">
        <f t="shared" ref="AH49:BI49" si="35">AH27-AH47</f>
        <v>0</v>
      </c>
      <c r="AI49" s="21">
        <f t="shared" si="35"/>
        <v>0</v>
      </c>
      <c r="AJ49" s="21">
        <f t="shared" si="35"/>
        <v>0</v>
      </c>
      <c r="AK49" s="21">
        <f t="shared" si="35"/>
        <v>0</v>
      </c>
      <c r="AL49" s="21">
        <f t="shared" si="35"/>
        <v>0</v>
      </c>
      <c r="AM49" s="21">
        <f t="shared" si="35"/>
        <v>0</v>
      </c>
      <c r="AN49" s="21">
        <f t="shared" si="35"/>
        <v>0</v>
      </c>
      <c r="AO49" s="21">
        <f t="shared" si="35"/>
        <v>0</v>
      </c>
      <c r="AP49" s="21">
        <f t="shared" si="35"/>
        <v>0</v>
      </c>
      <c r="AQ49" s="21">
        <f t="shared" si="35"/>
        <v>0</v>
      </c>
      <c r="AR49" s="21">
        <f t="shared" si="35"/>
        <v>0</v>
      </c>
      <c r="AS49" s="21">
        <f t="shared" si="35"/>
        <v>0</v>
      </c>
      <c r="AT49" s="21">
        <f t="shared" si="35"/>
        <v>0</v>
      </c>
      <c r="AU49" s="21">
        <f t="shared" si="35"/>
        <v>0</v>
      </c>
      <c r="AV49" s="21">
        <f t="shared" si="35"/>
        <v>0</v>
      </c>
      <c r="AW49" s="21">
        <f t="shared" si="35"/>
        <v>0</v>
      </c>
      <c r="AX49" s="21">
        <f t="shared" si="35"/>
        <v>0</v>
      </c>
      <c r="AY49" s="21">
        <f t="shared" si="35"/>
        <v>0</v>
      </c>
      <c r="AZ49" s="21">
        <f t="shared" si="35"/>
        <v>0</v>
      </c>
      <c r="BA49" s="21">
        <f t="shared" si="35"/>
        <v>0</v>
      </c>
      <c r="BB49" s="21">
        <f t="shared" si="35"/>
        <v>0</v>
      </c>
      <c r="BC49" s="21">
        <f t="shared" si="35"/>
        <v>0</v>
      </c>
      <c r="BD49" s="21">
        <f t="shared" si="35"/>
        <v>0</v>
      </c>
      <c r="BE49" s="21">
        <f t="shared" si="35"/>
        <v>0</v>
      </c>
      <c r="BF49" s="21">
        <f t="shared" si="35"/>
        <v>0</v>
      </c>
      <c r="BG49" s="21">
        <f t="shared" si="35"/>
        <v>0</v>
      </c>
      <c r="BH49" s="21">
        <f t="shared" si="35"/>
        <v>0</v>
      </c>
      <c r="BI49" s="21">
        <f t="shared" si="35"/>
        <v>0</v>
      </c>
    </row>
    <row r="50" spans="1:61" ht="18.75" customHeight="1" x14ac:dyDescent="0.2">
      <c r="A50" s="22" t="s">
        <v>57</v>
      </c>
      <c r="B50" s="23">
        <f t="shared" ref="B50:AG50" si="36">IF(B18=0,0,B49/B18)</f>
        <v>-0.10127635252842825</v>
      </c>
      <c r="C50" s="23">
        <f t="shared" si="36"/>
        <v>-0.30481639806354122</v>
      </c>
      <c r="D50" s="23">
        <f t="shared" si="36"/>
        <v>-8.3846633198941173E-2</v>
      </c>
      <c r="E50" s="23">
        <f t="shared" si="36"/>
        <v>0</v>
      </c>
      <c r="F50" s="23">
        <f t="shared" si="36"/>
        <v>-0.12168610368915443</v>
      </c>
      <c r="G50" s="23">
        <f t="shared" si="36"/>
        <v>0</v>
      </c>
      <c r="H50" s="23">
        <f t="shared" si="36"/>
        <v>0</v>
      </c>
      <c r="I50" s="23">
        <f t="shared" si="36"/>
        <v>0</v>
      </c>
      <c r="J50" s="23">
        <f t="shared" si="36"/>
        <v>0</v>
      </c>
      <c r="K50" s="23">
        <f t="shared" si="36"/>
        <v>0</v>
      </c>
      <c r="L50" s="23">
        <f t="shared" si="36"/>
        <v>0</v>
      </c>
      <c r="M50" s="23">
        <f t="shared" si="36"/>
        <v>0</v>
      </c>
      <c r="N50" s="23">
        <f t="shared" si="36"/>
        <v>0</v>
      </c>
      <c r="O50" s="23">
        <f t="shared" si="36"/>
        <v>0</v>
      </c>
      <c r="P50" s="23">
        <f t="shared" si="36"/>
        <v>0</v>
      </c>
      <c r="Q50" s="23">
        <f t="shared" si="36"/>
        <v>0</v>
      </c>
      <c r="R50" s="23">
        <f t="shared" si="36"/>
        <v>0</v>
      </c>
      <c r="S50" s="23">
        <f t="shared" si="36"/>
        <v>0</v>
      </c>
      <c r="T50" s="23">
        <f t="shared" si="36"/>
        <v>0</v>
      </c>
      <c r="U50" s="23">
        <f t="shared" si="36"/>
        <v>6.7500303019623203E-2</v>
      </c>
      <c r="V50" s="23">
        <f t="shared" si="36"/>
        <v>0</v>
      </c>
      <c r="W50" s="23">
        <f t="shared" si="36"/>
        <v>0</v>
      </c>
      <c r="X50" s="23">
        <f t="shared" si="36"/>
        <v>0</v>
      </c>
      <c r="Y50" s="23">
        <f t="shared" si="36"/>
        <v>0</v>
      </c>
      <c r="Z50" s="23">
        <f t="shared" si="36"/>
        <v>0</v>
      </c>
      <c r="AA50" s="23">
        <f t="shared" si="36"/>
        <v>0</v>
      </c>
      <c r="AB50" s="23">
        <f t="shared" si="36"/>
        <v>0</v>
      </c>
      <c r="AC50" s="23">
        <f t="shared" si="36"/>
        <v>0</v>
      </c>
      <c r="AD50" s="23">
        <f t="shared" si="36"/>
        <v>0</v>
      </c>
      <c r="AE50" s="23">
        <f t="shared" si="36"/>
        <v>0</v>
      </c>
      <c r="AF50" s="23">
        <f t="shared" si="36"/>
        <v>0</v>
      </c>
      <c r="AG50" s="23">
        <f t="shared" si="36"/>
        <v>0</v>
      </c>
      <c r="AH50" s="23">
        <f t="shared" ref="AH50:BM50" si="37">IF(AH18=0,0,AH49/AH18)</f>
        <v>0</v>
      </c>
      <c r="AI50" s="23">
        <f t="shared" si="37"/>
        <v>0</v>
      </c>
      <c r="AJ50" s="23">
        <f t="shared" si="37"/>
        <v>0</v>
      </c>
      <c r="AK50" s="23">
        <f t="shared" si="37"/>
        <v>0</v>
      </c>
      <c r="AL50" s="23">
        <f t="shared" si="37"/>
        <v>0</v>
      </c>
      <c r="AM50" s="23">
        <f t="shared" si="37"/>
        <v>0</v>
      </c>
      <c r="AN50" s="23">
        <f t="shared" si="37"/>
        <v>0</v>
      </c>
      <c r="AO50" s="23">
        <f t="shared" si="37"/>
        <v>0</v>
      </c>
      <c r="AP50" s="23">
        <f t="shared" si="37"/>
        <v>0</v>
      </c>
      <c r="AQ50" s="23">
        <f t="shared" si="37"/>
        <v>0</v>
      </c>
      <c r="AR50" s="23">
        <f t="shared" si="37"/>
        <v>0</v>
      </c>
      <c r="AS50" s="23">
        <f t="shared" si="37"/>
        <v>0</v>
      </c>
      <c r="AT50" s="23">
        <f t="shared" si="37"/>
        <v>0</v>
      </c>
      <c r="AU50" s="23">
        <f t="shared" si="37"/>
        <v>0</v>
      </c>
      <c r="AV50" s="23">
        <f t="shared" si="37"/>
        <v>0</v>
      </c>
      <c r="AW50" s="23">
        <f t="shared" si="37"/>
        <v>0</v>
      </c>
      <c r="AX50" s="23">
        <f t="shared" si="37"/>
        <v>0</v>
      </c>
      <c r="AY50" s="23">
        <f t="shared" si="37"/>
        <v>0</v>
      </c>
      <c r="AZ50" s="23">
        <f t="shared" si="37"/>
        <v>0</v>
      </c>
      <c r="BA50" s="23">
        <f t="shared" si="37"/>
        <v>0</v>
      </c>
      <c r="BB50" s="23">
        <f t="shared" si="37"/>
        <v>0</v>
      </c>
      <c r="BC50" s="23">
        <f t="shared" si="37"/>
        <v>0</v>
      </c>
      <c r="BD50" s="23">
        <f t="shared" si="37"/>
        <v>0</v>
      </c>
      <c r="BE50" s="23">
        <f t="shared" si="37"/>
        <v>0</v>
      </c>
      <c r="BF50" s="23">
        <f t="shared" si="37"/>
        <v>0</v>
      </c>
      <c r="BG50" s="23">
        <f t="shared" si="37"/>
        <v>0</v>
      </c>
      <c r="BH50" s="23">
        <f t="shared" si="37"/>
        <v>0</v>
      </c>
      <c r="BI50" s="23">
        <f t="shared" si="37"/>
        <v>0</v>
      </c>
    </row>
    <row r="51" spans="1:61" ht="15" customHeight="1" x14ac:dyDescent="0.2">
      <c r="A51" s="11" t="s">
        <v>58</v>
      </c>
      <c r="B51" s="12">
        <v>0</v>
      </c>
      <c r="C51" s="12">
        <v>0</v>
      </c>
      <c r="D51" s="12">
        <v>0</v>
      </c>
      <c r="E51" s="12"/>
      <c r="F51" s="12">
        <v>0</v>
      </c>
      <c r="G51" s="12"/>
      <c r="H51" s="12"/>
      <c r="I51" s="12"/>
      <c r="J51" s="12"/>
      <c r="K51" s="12">
        <f>SUM(G51:J51)</f>
        <v>0</v>
      </c>
      <c r="L51" s="12"/>
      <c r="M51" s="12"/>
      <c r="N51" s="12"/>
      <c r="O51" s="12"/>
      <c r="P51" s="12">
        <f>SUM(L51:O51)</f>
        <v>0</v>
      </c>
      <c r="Q51" s="12"/>
      <c r="R51" s="12"/>
      <c r="S51" s="12"/>
      <c r="T51" s="12"/>
      <c r="U51" s="12">
        <v>0</v>
      </c>
      <c r="V51" s="12"/>
      <c r="W51" s="12"/>
      <c r="X51" s="12"/>
      <c r="Y51" s="12"/>
      <c r="Z51" s="12">
        <f>SUM(V51:Y51)</f>
        <v>0</v>
      </c>
      <c r="AA51" s="12"/>
      <c r="AB51" s="12"/>
      <c r="AC51" s="12"/>
      <c r="AD51" s="12"/>
      <c r="AE51" s="12">
        <f>SUM(AA51:AD51)</f>
        <v>0</v>
      </c>
      <c r="AF51" s="12"/>
      <c r="AG51" s="12"/>
      <c r="AH51" s="12"/>
      <c r="AI51" s="12"/>
      <c r="AJ51" s="12">
        <f>SUM(AF51:AI51)</f>
        <v>0</v>
      </c>
      <c r="AK51" s="12"/>
      <c r="AL51" s="12"/>
      <c r="AM51" s="12"/>
      <c r="AN51" s="12"/>
      <c r="AO51" s="12">
        <f>SUM(AK51:AN51)</f>
        <v>0</v>
      </c>
      <c r="AP51" s="12"/>
      <c r="AQ51" s="12"/>
      <c r="AR51" s="12"/>
      <c r="AS51" s="12"/>
      <c r="AT51" s="12">
        <f>SUM(AP51:AS51)</f>
        <v>0</v>
      </c>
      <c r="AU51" s="12"/>
      <c r="AV51" s="12"/>
      <c r="AW51" s="12"/>
      <c r="AX51" s="12"/>
      <c r="AY51" s="12">
        <f>SUM(AU51:AX51)</f>
        <v>0</v>
      </c>
      <c r="AZ51" s="12"/>
      <c r="BA51" s="12"/>
      <c r="BB51" s="12"/>
      <c r="BC51" s="12"/>
      <c r="BD51" s="12">
        <f>SUM(AZ51:BC51)</f>
        <v>0</v>
      </c>
      <c r="BE51" s="12"/>
      <c r="BF51" s="12"/>
      <c r="BG51" s="12"/>
      <c r="BH51" s="12"/>
      <c r="BI51" s="12">
        <f>SUM(BE51:BH51)</f>
        <v>0</v>
      </c>
    </row>
    <row r="52" spans="1:61" ht="15" customHeight="1" x14ac:dyDescent="0.2">
      <c r="A52" s="11" t="s">
        <v>59</v>
      </c>
      <c r="B52" s="12">
        <v>0</v>
      </c>
      <c r="C52" s="12">
        <v>0</v>
      </c>
      <c r="D52" s="12">
        <v>0</v>
      </c>
      <c r="E52" s="12"/>
      <c r="F52" s="12">
        <v>0</v>
      </c>
      <c r="G52" s="12"/>
      <c r="H52" s="12"/>
      <c r="I52" s="12"/>
      <c r="J52" s="12"/>
      <c r="K52" s="12">
        <f>SUM(G52:J52)</f>
        <v>0</v>
      </c>
      <c r="L52" s="12"/>
      <c r="M52" s="12"/>
      <c r="N52" s="12"/>
      <c r="O52" s="12"/>
      <c r="P52" s="12">
        <f>SUM(L52:O52)</f>
        <v>0</v>
      </c>
      <c r="Q52" s="12"/>
      <c r="R52" s="12"/>
      <c r="S52" s="12"/>
      <c r="T52" s="12"/>
      <c r="U52" s="12">
        <f>SUM(Q52:T52)</f>
        <v>0</v>
      </c>
      <c r="V52" s="12"/>
      <c r="W52" s="12"/>
      <c r="X52" s="12"/>
      <c r="Y52" s="12"/>
      <c r="Z52" s="12">
        <f>SUM(V52:Y52)</f>
        <v>0</v>
      </c>
      <c r="AA52" s="12"/>
      <c r="AB52" s="12"/>
      <c r="AC52" s="12"/>
      <c r="AD52" s="12"/>
      <c r="AE52" s="12">
        <f>SUM(AA52:AD52)</f>
        <v>0</v>
      </c>
      <c r="AF52" s="12"/>
      <c r="AG52" s="12"/>
      <c r="AH52" s="12"/>
      <c r="AI52" s="12"/>
      <c r="AJ52" s="12">
        <f>SUM(AF52:AI52)</f>
        <v>0</v>
      </c>
      <c r="AK52" s="12"/>
      <c r="AL52" s="12"/>
      <c r="AM52" s="12"/>
      <c r="AN52" s="12"/>
      <c r="AO52" s="12">
        <f>SUM(AK52:AN52)</f>
        <v>0</v>
      </c>
      <c r="AP52" s="12"/>
      <c r="AQ52" s="12"/>
      <c r="AR52" s="12"/>
      <c r="AS52" s="12"/>
      <c r="AT52" s="12">
        <f>SUM(AP52:AS52)</f>
        <v>0</v>
      </c>
      <c r="AU52" s="12"/>
      <c r="AV52" s="12"/>
      <c r="AW52" s="12"/>
      <c r="AX52" s="12"/>
      <c r="AY52" s="12">
        <f>SUM(AU52:AX52)</f>
        <v>0</v>
      </c>
      <c r="AZ52" s="12"/>
      <c r="BA52" s="12"/>
      <c r="BB52" s="12"/>
      <c r="BC52" s="12"/>
      <c r="BD52" s="12">
        <f>SUM(AZ52:BC52)</f>
        <v>0</v>
      </c>
      <c r="BE52" s="12"/>
      <c r="BF52" s="12"/>
      <c r="BG52" s="12"/>
      <c r="BH52" s="12"/>
      <c r="BI52" s="12">
        <f>SUM(BE52:BH52)</f>
        <v>0</v>
      </c>
    </row>
    <row r="53" spans="1:61" s="19" customFormat="1" ht="21" customHeight="1" x14ac:dyDescent="0.2">
      <c r="A53" s="20" t="s">
        <v>60</v>
      </c>
      <c r="B53" s="21">
        <f t="shared" ref="B53:AG53" si="38">B49-B51-B52</f>
        <v>-3178.8500000000022</v>
      </c>
      <c r="C53" s="21">
        <f t="shared" si="38"/>
        <v>-12550.549999999996</v>
      </c>
      <c r="D53" s="21">
        <f t="shared" si="38"/>
        <v>-3797.0299999999952</v>
      </c>
      <c r="E53" s="21">
        <f t="shared" si="38"/>
        <v>0</v>
      </c>
      <c r="F53" s="21">
        <f t="shared" si="38"/>
        <v>-21981.249999999985</v>
      </c>
      <c r="G53" s="21">
        <f t="shared" si="38"/>
        <v>0</v>
      </c>
      <c r="H53" s="21">
        <f t="shared" si="38"/>
        <v>0</v>
      </c>
      <c r="I53" s="21">
        <f t="shared" si="38"/>
        <v>0</v>
      </c>
      <c r="J53" s="21">
        <f t="shared" si="38"/>
        <v>0</v>
      </c>
      <c r="K53" s="21">
        <f t="shared" si="38"/>
        <v>0</v>
      </c>
      <c r="L53" s="21">
        <f t="shared" si="38"/>
        <v>0</v>
      </c>
      <c r="M53" s="21">
        <f t="shared" si="38"/>
        <v>0</v>
      </c>
      <c r="N53" s="21">
        <f t="shared" si="38"/>
        <v>0</v>
      </c>
      <c r="O53" s="21">
        <f t="shared" si="38"/>
        <v>0</v>
      </c>
      <c r="P53" s="21">
        <f t="shared" si="38"/>
        <v>0</v>
      </c>
      <c r="Q53" s="21">
        <f t="shared" si="38"/>
        <v>0</v>
      </c>
      <c r="R53" s="21">
        <f t="shared" si="38"/>
        <v>0</v>
      </c>
      <c r="S53" s="21">
        <f t="shared" si="38"/>
        <v>0</v>
      </c>
      <c r="T53" s="21">
        <f t="shared" si="38"/>
        <v>0</v>
      </c>
      <c r="U53" s="21">
        <f t="shared" si="38"/>
        <v>26255.193500000023</v>
      </c>
      <c r="V53" s="21">
        <f t="shared" si="38"/>
        <v>0</v>
      </c>
      <c r="W53" s="21">
        <f t="shared" si="38"/>
        <v>0</v>
      </c>
      <c r="X53" s="21">
        <f t="shared" si="38"/>
        <v>0</v>
      </c>
      <c r="Y53" s="21">
        <f t="shared" si="38"/>
        <v>0</v>
      </c>
      <c r="Z53" s="21">
        <f t="shared" si="38"/>
        <v>0</v>
      </c>
      <c r="AA53" s="21">
        <f t="shared" si="38"/>
        <v>0</v>
      </c>
      <c r="AB53" s="21">
        <f t="shared" si="38"/>
        <v>0</v>
      </c>
      <c r="AC53" s="21">
        <f t="shared" si="38"/>
        <v>0</v>
      </c>
      <c r="AD53" s="21">
        <f t="shared" si="38"/>
        <v>0</v>
      </c>
      <c r="AE53" s="21">
        <f t="shared" si="38"/>
        <v>0</v>
      </c>
      <c r="AF53" s="21">
        <f t="shared" si="38"/>
        <v>0</v>
      </c>
      <c r="AG53" s="21">
        <f t="shared" si="38"/>
        <v>0</v>
      </c>
      <c r="AH53" s="21">
        <f t="shared" ref="AH53:BM53" si="39">AH49-AH51-AH52</f>
        <v>0</v>
      </c>
      <c r="AI53" s="21">
        <f t="shared" si="39"/>
        <v>0</v>
      </c>
      <c r="AJ53" s="21">
        <f t="shared" si="39"/>
        <v>0</v>
      </c>
      <c r="AK53" s="21">
        <f t="shared" si="39"/>
        <v>0</v>
      </c>
      <c r="AL53" s="21">
        <f t="shared" si="39"/>
        <v>0</v>
      </c>
      <c r="AM53" s="21">
        <f t="shared" si="39"/>
        <v>0</v>
      </c>
      <c r="AN53" s="21">
        <f t="shared" si="39"/>
        <v>0</v>
      </c>
      <c r="AO53" s="21">
        <f t="shared" si="39"/>
        <v>0</v>
      </c>
      <c r="AP53" s="21">
        <f t="shared" si="39"/>
        <v>0</v>
      </c>
      <c r="AQ53" s="21">
        <f t="shared" si="39"/>
        <v>0</v>
      </c>
      <c r="AR53" s="21">
        <f t="shared" si="39"/>
        <v>0</v>
      </c>
      <c r="AS53" s="21">
        <f t="shared" si="39"/>
        <v>0</v>
      </c>
      <c r="AT53" s="21">
        <f t="shared" si="39"/>
        <v>0</v>
      </c>
      <c r="AU53" s="21">
        <f t="shared" si="39"/>
        <v>0</v>
      </c>
      <c r="AV53" s="21">
        <f t="shared" si="39"/>
        <v>0</v>
      </c>
      <c r="AW53" s="21">
        <f t="shared" si="39"/>
        <v>0</v>
      </c>
      <c r="AX53" s="21">
        <f t="shared" si="39"/>
        <v>0</v>
      </c>
      <c r="AY53" s="21">
        <f t="shared" si="39"/>
        <v>0</v>
      </c>
      <c r="AZ53" s="21">
        <f t="shared" si="39"/>
        <v>0</v>
      </c>
      <c r="BA53" s="21">
        <f t="shared" si="39"/>
        <v>0</v>
      </c>
      <c r="BB53" s="21">
        <f t="shared" si="39"/>
        <v>0</v>
      </c>
      <c r="BC53" s="21">
        <f t="shared" si="39"/>
        <v>0</v>
      </c>
      <c r="BD53" s="21">
        <f t="shared" si="39"/>
        <v>0</v>
      </c>
      <c r="BE53" s="21">
        <f t="shared" si="39"/>
        <v>0</v>
      </c>
      <c r="BF53" s="21">
        <f t="shared" si="39"/>
        <v>0</v>
      </c>
      <c r="BG53" s="21">
        <f t="shared" si="39"/>
        <v>0</v>
      </c>
      <c r="BH53" s="21">
        <f t="shared" si="39"/>
        <v>0</v>
      </c>
      <c r="BI53" s="21">
        <f t="shared" si="39"/>
        <v>0</v>
      </c>
    </row>
    <row r="54" spans="1:61" ht="18.75" customHeight="1" x14ac:dyDescent="0.2">
      <c r="A54" s="22" t="s">
        <v>61</v>
      </c>
      <c r="B54" s="23">
        <f t="shared" ref="B54:AG54" si="40">IF(B18=0,0,B53/B18)</f>
        <v>-0.10127635252842825</v>
      </c>
      <c r="C54" s="23">
        <f t="shared" si="40"/>
        <v>-0.30481639806354122</v>
      </c>
      <c r="D54" s="23">
        <f t="shared" si="40"/>
        <v>-8.3846633198941173E-2</v>
      </c>
      <c r="E54" s="23">
        <f t="shared" si="40"/>
        <v>0</v>
      </c>
      <c r="F54" s="23">
        <f t="shared" si="40"/>
        <v>-0.12168610368915443</v>
      </c>
      <c r="G54" s="23">
        <f t="shared" si="40"/>
        <v>0</v>
      </c>
      <c r="H54" s="23">
        <f t="shared" si="40"/>
        <v>0</v>
      </c>
      <c r="I54" s="23">
        <f t="shared" si="40"/>
        <v>0</v>
      </c>
      <c r="J54" s="23">
        <f t="shared" si="40"/>
        <v>0</v>
      </c>
      <c r="K54" s="23">
        <f t="shared" si="40"/>
        <v>0</v>
      </c>
      <c r="L54" s="23">
        <f t="shared" si="40"/>
        <v>0</v>
      </c>
      <c r="M54" s="23">
        <f t="shared" si="40"/>
        <v>0</v>
      </c>
      <c r="N54" s="23">
        <f t="shared" si="40"/>
        <v>0</v>
      </c>
      <c r="O54" s="23">
        <f t="shared" si="40"/>
        <v>0</v>
      </c>
      <c r="P54" s="23">
        <f t="shared" si="40"/>
        <v>0</v>
      </c>
      <c r="Q54" s="23">
        <f t="shared" si="40"/>
        <v>0</v>
      </c>
      <c r="R54" s="23">
        <f t="shared" si="40"/>
        <v>0</v>
      </c>
      <c r="S54" s="23">
        <f t="shared" si="40"/>
        <v>0</v>
      </c>
      <c r="T54" s="23">
        <f t="shared" si="40"/>
        <v>0</v>
      </c>
      <c r="U54" s="23">
        <f t="shared" si="40"/>
        <v>6.7500303019623203E-2</v>
      </c>
      <c r="V54" s="23">
        <f t="shared" si="40"/>
        <v>0</v>
      </c>
      <c r="W54" s="23">
        <f t="shared" si="40"/>
        <v>0</v>
      </c>
      <c r="X54" s="23">
        <f t="shared" si="40"/>
        <v>0</v>
      </c>
      <c r="Y54" s="23">
        <f t="shared" si="40"/>
        <v>0</v>
      </c>
      <c r="Z54" s="23">
        <f t="shared" si="40"/>
        <v>0</v>
      </c>
      <c r="AA54" s="23">
        <f t="shared" si="40"/>
        <v>0</v>
      </c>
      <c r="AB54" s="23">
        <f t="shared" si="40"/>
        <v>0</v>
      </c>
      <c r="AC54" s="23">
        <f t="shared" si="40"/>
        <v>0</v>
      </c>
      <c r="AD54" s="23">
        <f t="shared" si="40"/>
        <v>0</v>
      </c>
      <c r="AE54" s="23">
        <f t="shared" si="40"/>
        <v>0</v>
      </c>
      <c r="AF54" s="23">
        <f t="shared" si="40"/>
        <v>0</v>
      </c>
      <c r="AG54" s="23">
        <f t="shared" si="40"/>
        <v>0</v>
      </c>
      <c r="AH54" s="23">
        <f t="shared" ref="AH54:BM54" si="41">IF(AH18=0,0,AH53/AH18)</f>
        <v>0</v>
      </c>
      <c r="AI54" s="23">
        <f t="shared" si="41"/>
        <v>0</v>
      </c>
      <c r="AJ54" s="23">
        <f t="shared" si="41"/>
        <v>0</v>
      </c>
      <c r="AK54" s="23">
        <f t="shared" si="41"/>
        <v>0</v>
      </c>
      <c r="AL54" s="23">
        <f t="shared" si="41"/>
        <v>0</v>
      </c>
      <c r="AM54" s="23">
        <f t="shared" si="41"/>
        <v>0</v>
      </c>
      <c r="AN54" s="23">
        <f t="shared" si="41"/>
        <v>0</v>
      </c>
      <c r="AO54" s="23">
        <f t="shared" si="41"/>
        <v>0</v>
      </c>
      <c r="AP54" s="23">
        <f t="shared" si="41"/>
        <v>0</v>
      </c>
      <c r="AQ54" s="23">
        <f t="shared" si="41"/>
        <v>0</v>
      </c>
      <c r="AR54" s="23">
        <f t="shared" si="41"/>
        <v>0</v>
      </c>
      <c r="AS54" s="23">
        <f t="shared" si="41"/>
        <v>0</v>
      </c>
      <c r="AT54" s="23">
        <f t="shared" si="41"/>
        <v>0</v>
      </c>
      <c r="AU54" s="23">
        <f t="shared" si="41"/>
        <v>0</v>
      </c>
      <c r="AV54" s="23">
        <f t="shared" si="41"/>
        <v>0</v>
      </c>
      <c r="AW54" s="23">
        <f t="shared" si="41"/>
        <v>0</v>
      </c>
      <c r="AX54" s="23">
        <f t="shared" si="41"/>
        <v>0</v>
      </c>
      <c r="AY54" s="23">
        <f t="shared" si="41"/>
        <v>0</v>
      </c>
      <c r="AZ54" s="23">
        <f t="shared" si="41"/>
        <v>0</v>
      </c>
      <c r="BA54" s="23">
        <f t="shared" si="41"/>
        <v>0</v>
      </c>
      <c r="BB54" s="23">
        <f t="shared" si="41"/>
        <v>0</v>
      </c>
      <c r="BC54" s="23">
        <f t="shared" si="41"/>
        <v>0</v>
      </c>
      <c r="BD54" s="23">
        <f t="shared" si="41"/>
        <v>0</v>
      </c>
      <c r="BE54" s="23">
        <f t="shared" si="41"/>
        <v>0</v>
      </c>
      <c r="BF54" s="23">
        <f t="shared" si="41"/>
        <v>0</v>
      </c>
      <c r="BG54" s="23">
        <f t="shared" si="41"/>
        <v>0</v>
      </c>
      <c r="BH54" s="23">
        <f t="shared" si="41"/>
        <v>0</v>
      </c>
      <c r="BI54" s="23">
        <f t="shared" si="41"/>
        <v>0</v>
      </c>
    </row>
    <row r="55" spans="1:61" ht="15" customHeight="1" x14ac:dyDescent="0.2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ht="18.75" customHeight="1" x14ac:dyDescent="0.2">
      <c r="A56" s="25" t="s">
        <v>62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</row>
    <row r="57" spans="1:61" ht="15.75" customHeight="1" x14ac:dyDescent="0.2">
      <c r="A57" s="24" t="s">
        <v>63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ht="15" customHeight="1" x14ac:dyDescent="0.2">
      <c r="A58" s="11" t="s">
        <v>64</v>
      </c>
      <c r="B58" s="12">
        <v>0</v>
      </c>
      <c r="C58" s="12">
        <v>0</v>
      </c>
      <c r="D58" s="12">
        <v>0</v>
      </c>
      <c r="E58" s="12"/>
      <c r="F58" s="12">
        <v>0</v>
      </c>
      <c r="G58" s="12"/>
      <c r="H58" s="12"/>
      <c r="I58" s="12"/>
      <c r="J58" s="12"/>
      <c r="K58" s="12">
        <f>SUM(G58:J58)</f>
        <v>0</v>
      </c>
      <c r="L58" s="12"/>
      <c r="M58" s="12"/>
      <c r="N58" s="12"/>
      <c r="O58" s="12"/>
      <c r="P58" s="12">
        <f>SUM(L58:O58)</f>
        <v>0</v>
      </c>
      <c r="Q58" s="12"/>
      <c r="R58" s="12"/>
      <c r="S58" s="12"/>
      <c r="T58" s="12"/>
      <c r="U58" s="12">
        <f>SUM(Q58:T58)</f>
        <v>0</v>
      </c>
      <c r="V58" s="12"/>
      <c r="W58" s="12"/>
      <c r="X58" s="12"/>
      <c r="Y58" s="12"/>
      <c r="Z58" s="12">
        <f>SUM(V58:Y58)</f>
        <v>0</v>
      </c>
      <c r="AA58" s="12"/>
      <c r="AB58" s="12"/>
      <c r="AC58" s="12"/>
      <c r="AD58" s="12"/>
      <c r="AE58" s="12">
        <f>SUM(AA58:AD58)</f>
        <v>0</v>
      </c>
      <c r="AF58" s="12"/>
      <c r="AG58" s="12"/>
      <c r="AH58" s="12"/>
      <c r="AI58" s="12"/>
      <c r="AJ58" s="12">
        <f>SUM(AF58:AI58)</f>
        <v>0</v>
      </c>
      <c r="AK58" s="12"/>
      <c r="AL58" s="12"/>
      <c r="AM58" s="12"/>
      <c r="AN58" s="12"/>
      <c r="AO58" s="12">
        <f>SUM(AK58:AN58)</f>
        <v>0</v>
      </c>
      <c r="AP58" s="12"/>
      <c r="AQ58" s="12"/>
      <c r="AR58" s="12"/>
      <c r="AS58" s="12"/>
      <c r="AT58" s="12">
        <f>SUM(AP58:AS58)</f>
        <v>0</v>
      </c>
      <c r="AU58" s="12"/>
      <c r="AV58" s="12"/>
      <c r="AW58" s="12"/>
      <c r="AX58" s="12"/>
      <c r="AY58" s="12">
        <f>SUM(AU58:AX58)</f>
        <v>0</v>
      </c>
      <c r="AZ58" s="12"/>
      <c r="BA58" s="12"/>
      <c r="BB58" s="12"/>
      <c r="BC58" s="12"/>
      <c r="BD58" s="12">
        <f>SUM(AZ58:BC58)</f>
        <v>0</v>
      </c>
      <c r="BE58" s="12"/>
      <c r="BF58" s="12"/>
      <c r="BG58" s="12"/>
      <c r="BH58" s="12"/>
      <c r="BI58" s="12">
        <f>SUM(BE58:BH58)</f>
        <v>0</v>
      </c>
    </row>
    <row r="59" spans="1:61" ht="15" customHeight="1" x14ac:dyDescent="0.2">
      <c r="A59" s="11" t="s">
        <v>65</v>
      </c>
      <c r="B59" s="12">
        <v>0</v>
      </c>
      <c r="C59" s="12">
        <v>0</v>
      </c>
      <c r="D59" s="12">
        <v>0</v>
      </c>
      <c r="E59" s="12"/>
      <c r="F59" s="12">
        <v>0</v>
      </c>
      <c r="G59" s="12"/>
      <c r="H59" s="12"/>
      <c r="I59" s="12"/>
      <c r="J59" s="12"/>
      <c r="K59" s="12">
        <f>SUM(G59:J59)</f>
        <v>0</v>
      </c>
      <c r="L59" s="12"/>
      <c r="M59" s="12"/>
      <c r="N59" s="12"/>
      <c r="O59" s="12"/>
      <c r="P59" s="12">
        <f>SUM(L59:O59)</f>
        <v>0</v>
      </c>
      <c r="Q59" s="12"/>
      <c r="R59" s="12"/>
      <c r="S59" s="12"/>
      <c r="T59" s="12"/>
      <c r="U59" s="12">
        <f>SUM(Q59:T59)</f>
        <v>0</v>
      </c>
      <c r="V59" s="12"/>
      <c r="W59" s="12"/>
      <c r="X59" s="12"/>
      <c r="Y59" s="12"/>
      <c r="Z59" s="12">
        <f>SUM(V59:Y59)</f>
        <v>0</v>
      </c>
      <c r="AA59" s="12"/>
      <c r="AB59" s="12"/>
      <c r="AC59" s="12"/>
      <c r="AD59" s="12"/>
      <c r="AE59" s="12">
        <f>SUM(AA59:AD59)</f>
        <v>0</v>
      </c>
      <c r="AF59" s="12"/>
      <c r="AG59" s="12"/>
      <c r="AH59" s="12"/>
      <c r="AI59" s="12"/>
      <c r="AJ59" s="12">
        <f>SUM(AF59:AI59)</f>
        <v>0</v>
      </c>
      <c r="AK59" s="12"/>
      <c r="AL59" s="12"/>
      <c r="AM59" s="12"/>
      <c r="AN59" s="12"/>
      <c r="AO59" s="12">
        <f>SUM(AK59:AN59)</f>
        <v>0</v>
      </c>
      <c r="AP59" s="12"/>
      <c r="AQ59" s="12"/>
      <c r="AR59" s="12"/>
      <c r="AS59" s="12"/>
      <c r="AT59" s="12">
        <f>SUM(AP59:AS59)</f>
        <v>0</v>
      </c>
      <c r="AU59" s="12"/>
      <c r="AV59" s="12"/>
      <c r="AW59" s="12"/>
      <c r="AX59" s="12"/>
      <c r="AY59" s="12">
        <f>SUM(AU59:AX59)</f>
        <v>0</v>
      </c>
      <c r="AZ59" s="12"/>
      <c r="BA59" s="12"/>
      <c r="BB59" s="12"/>
      <c r="BC59" s="12"/>
      <c r="BD59" s="12">
        <f>SUM(AZ59:BC59)</f>
        <v>0</v>
      </c>
      <c r="BE59" s="12"/>
      <c r="BF59" s="12"/>
      <c r="BG59" s="12"/>
      <c r="BH59" s="12"/>
      <c r="BI59" s="12">
        <f>SUM(BE59:BH59)</f>
        <v>0</v>
      </c>
    </row>
    <row r="60" spans="1:61" ht="15" customHeight="1" x14ac:dyDescent="0.2">
      <c r="A60" s="11" t="s">
        <v>66</v>
      </c>
      <c r="B60" s="12">
        <v>0</v>
      </c>
      <c r="C60" s="12">
        <v>0</v>
      </c>
      <c r="D60" s="12">
        <v>0</v>
      </c>
      <c r="E60" s="12"/>
      <c r="F60" s="12">
        <v>0</v>
      </c>
      <c r="G60" s="12"/>
      <c r="H60" s="12"/>
      <c r="I60" s="12"/>
      <c r="J60" s="12"/>
      <c r="K60" s="12">
        <f>SUM(G60:J60)</f>
        <v>0</v>
      </c>
      <c r="L60" s="12"/>
      <c r="M60" s="12"/>
      <c r="N60" s="12"/>
      <c r="O60" s="12"/>
      <c r="P60" s="12">
        <f>SUM(L60:O60)</f>
        <v>0</v>
      </c>
      <c r="Q60" s="12"/>
      <c r="R60" s="12"/>
      <c r="S60" s="12"/>
      <c r="T60" s="12"/>
      <c r="U60" s="12">
        <f>SUM(Q60:T60)</f>
        <v>0</v>
      </c>
      <c r="V60" s="12"/>
      <c r="W60" s="12"/>
      <c r="X60" s="12"/>
      <c r="Y60" s="12"/>
      <c r="Z60" s="12">
        <f>SUM(V60:Y60)</f>
        <v>0</v>
      </c>
      <c r="AA60" s="12"/>
      <c r="AB60" s="12"/>
      <c r="AC60" s="12"/>
      <c r="AD60" s="12"/>
      <c r="AE60" s="12">
        <f>SUM(AA60:AD60)</f>
        <v>0</v>
      </c>
      <c r="AF60" s="12"/>
      <c r="AG60" s="12"/>
      <c r="AH60" s="12"/>
      <c r="AI60" s="12"/>
      <c r="AJ60" s="12">
        <f>SUM(AF60:AI60)</f>
        <v>0</v>
      </c>
      <c r="AK60" s="12"/>
      <c r="AL60" s="12"/>
      <c r="AM60" s="12"/>
      <c r="AN60" s="12"/>
      <c r="AO60" s="12">
        <f>SUM(AK60:AN60)</f>
        <v>0</v>
      </c>
      <c r="AP60" s="12"/>
      <c r="AQ60" s="12"/>
      <c r="AR60" s="12"/>
      <c r="AS60" s="12"/>
      <c r="AT60" s="12">
        <f>SUM(AP60:AS60)</f>
        <v>0</v>
      </c>
      <c r="AU60" s="12"/>
      <c r="AV60" s="12"/>
      <c r="AW60" s="12"/>
      <c r="AX60" s="12"/>
      <c r="AY60" s="12">
        <f>SUM(AU60:AX60)</f>
        <v>0</v>
      </c>
      <c r="AZ60" s="12"/>
      <c r="BA60" s="12"/>
      <c r="BB60" s="12"/>
      <c r="BC60" s="12"/>
      <c r="BD60" s="12">
        <f>SUM(AZ60:BC60)</f>
        <v>0</v>
      </c>
      <c r="BE60" s="12"/>
      <c r="BF60" s="12"/>
      <c r="BG60" s="12"/>
      <c r="BH60" s="12"/>
      <c r="BI60" s="12">
        <f>SUM(BE60:BH60)</f>
        <v>0</v>
      </c>
    </row>
    <row r="61" spans="1:61" ht="15" customHeight="1" x14ac:dyDescent="0.2">
      <c r="A61" s="11" t="s">
        <v>67</v>
      </c>
      <c r="B61" s="12">
        <v>0</v>
      </c>
      <c r="C61" s="12">
        <v>0</v>
      </c>
      <c r="D61" s="12">
        <v>0</v>
      </c>
      <c r="E61" s="12"/>
      <c r="F61" s="12">
        <v>0</v>
      </c>
      <c r="G61" s="12"/>
      <c r="H61" s="12"/>
      <c r="I61" s="12"/>
      <c r="J61" s="12"/>
      <c r="K61" s="12">
        <f>SUM(G61:J61)</f>
        <v>0</v>
      </c>
      <c r="L61" s="12"/>
      <c r="M61" s="12"/>
      <c r="N61" s="12"/>
      <c r="O61" s="12"/>
      <c r="P61" s="12">
        <f>SUM(L61:O61)</f>
        <v>0</v>
      </c>
      <c r="Q61" s="12"/>
      <c r="R61" s="12"/>
      <c r="S61" s="12"/>
      <c r="T61" s="12"/>
      <c r="U61" s="12">
        <f>SUM(Q61:T61)</f>
        <v>0</v>
      </c>
      <c r="V61" s="12"/>
      <c r="W61" s="12"/>
      <c r="X61" s="12"/>
      <c r="Y61" s="12"/>
      <c r="Z61" s="12">
        <f>SUM(V61:Y61)</f>
        <v>0</v>
      </c>
      <c r="AA61" s="12"/>
      <c r="AB61" s="12"/>
      <c r="AC61" s="12"/>
      <c r="AD61" s="12"/>
      <c r="AE61" s="12">
        <f>SUM(AA61:AD61)</f>
        <v>0</v>
      </c>
      <c r="AF61" s="12"/>
      <c r="AG61" s="12"/>
      <c r="AH61" s="12"/>
      <c r="AI61" s="12"/>
      <c r="AJ61" s="12">
        <f>SUM(AF61:AI61)</f>
        <v>0</v>
      </c>
      <c r="AK61" s="12"/>
      <c r="AL61" s="12"/>
      <c r="AM61" s="12"/>
      <c r="AN61" s="12"/>
      <c r="AO61" s="12">
        <f>SUM(AK61:AN61)</f>
        <v>0</v>
      </c>
      <c r="AP61" s="12"/>
      <c r="AQ61" s="12"/>
      <c r="AR61" s="12"/>
      <c r="AS61" s="12"/>
      <c r="AT61" s="12">
        <f>SUM(AP61:AS61)</f>
        <v>0</v>
      </c>
      <c r="AU61" s="12"/>
      <c r="AV61" s="12"/>
      <c r="AW61" s="12"/>
      <c r="AX61" s="12"/>
      <c r="AY61" s="12">
        <f>SUM(AU61:AX61)</f>
        <v>0</v>
      </c>
      <c r="AZ61" s="12"/>
      <c r="BA61" s="12"/>
      <c r="BB61" s="12"/>
      <c r="BC61" s="12"/>
      <c r="BD61" s="12">
        <f>SUM(AZ61:BC61)</f>
        <v>0</v>
      </c>
      <c r="BE61" s="12"/>
      <c r="BF61" s="12"/>
      <c r="BG61" s="12"/>
      <c r="BH61" s="12"/>
      <c r="BI61" s="12">
        <f>SUM(BE61:BH61)</f>
        <v>0</v>
      </c>
    </row>
    <row r="62" spans="1:61" ht="15.75" customHeight="1" x14ac:dyDescent="0.2">
      <c r="A62" s="27" t="s">
        <v>68</v>
      </c>
      <c r="B62" s="28">
        <f t="shared" ref="B62:AG62" si="42">SUM(B58:B61)</f>
        <v>0</v>
      </c>
      <c r="C62" s="28">
        <f t="shared" si="42"/>
        <v>0</v>
      </c>
      <c r="D62" s="28">
        <f t="shared" si="42"/>
        <v>0</v>
      </c>
      <c r="E62" s="28">
        <f t="shared" si="42"/>
        <v>0</v>
      </c>
      <c r="F62" s="28">
        <f t="shared" si="42"/>
        <v>0</v>
      </c>
      <c r="G62" s="28">
        <f t="shared" si="42"/>
        <v>0</v>
      </c>
      <c r="H62" s="28">
        <f t="shared" si="42"/>
        <v>0</v>
      </c>
      <c r="I62" s="28">
        <f t="shared" si="42"/>
        <v>0</v>
      </c>
      <c r="J62" s="28">
        <f t="shared" si="42"/>
        <v>0</v>
      </c>
      <c r="K62" s="28">
        <f t="shared" si="42"/>
        <v>0</v>
      </c>
      <c r="L62" s="28">
        <f t="shared" si="42"/>
        <v>0</v>
      </c>
      <c r="M62" s="28">
        <f t="shared" si="42"/>
        <v>0</v>
      </c>
      <c r="N62" s="28">
        <f t="shared" si="42"/>
        <v>0</v>
      </c>
      <c r="O62" s="28">
        <f t="shared" si="42"/>
        <v>0</v>
      </c>
      <c r="P62" s="28">
        <f t="shared" si="42"/>
        <v>0</v>
      </c>
      <c r="Q62" s="28">
        <f t="shared" si="42"/>
        <v>0</v>
      </c>
      <c r="R62" s="28">
        <f t="shared" si="42"/>
        <v>0</v>
      </c>
      <c r="S62" s="28">
        <f t="shared" si="42"/>
        <v>0</v>
      </c>
      <c r="T62" s="28">
        <f t="shared" si="42"/>
        <v>0</v>
      </c>
      <c r="U62" s="28">
        <f t="shared" si="42"/>
        <v>0</v>
      </c>
      <c r="V62" s="28">
        <f t="shared" si="42"/>
        <v>0</v>
      </c>
      <c r="W62" s="28">
        <f t="shared" si="42"/>
        <v>0</v>
      </c>
      <c r="X62" s="28">
        <f t="shared" si="42"/>
        <v>0</v>
      </c>
      <c r="Y62" s="28">
        <f t="shared" si="42"/>
        <v>0</v>
      </c>
      <c r="Z62" s="28">
        <f t="shared" si="42"/>
        <v>0</v>
      </c>
      <c r="AA62" s="28">
        <f t="shared" si="42"/>
        <v>0</v>
      </c>
      <c r="AB62" s="28">
        <f t="shared" si="42"/>
        <v>0</v>
      </c>
      <c r="AC62" s="28">
        <f t="shared" si="42"/>
        <v>0</v>
      </c>
      <c r="AD62" s="28">
        <f t="shared" si="42"/>
        <v>0</v>
      </c>
      <c r="AE62" s="28">
        <f t="shared" si="42"/>
        <v>0</v>
      </c>
      <c r="AF62" s="28">
        <f t="shared" si="42"/>
        <v>0</v>
      </c>
      <c r="AG62" s="28">
        <f t="shared" si="42"/>
        <v>0</v>
      </c>
      <c r="AH62" s="28">
        <f t="shared" ref="AH62:BM62" si="43">SUM(AH58:AH61)</f>
        <v>0</v>
      </c>
      <c r="AI62" s="28">
        <f t="shared" si="43"/>
        <v>0</v>
      </c>
      <c r="AJ62" s="28">
        <f t="shared" si="43"/>
        <v>0</v>
      </c>
      <c r="AK62" s="28">
        <f t="shared" si="43"/>
        <v>0</v>
      </c>
      <c r="AL62" s="28">
        <f t="shared" si="43"/>
        <v>0</v>
      </c>
      <c r="AM62" s="28">
        <f t="shared" si="43"/>
        <v>0</v>
      </c>
      <c r="AN62" s="28">
        <f t="shared" si="43"/>
        <v>0</v>
      </c>
      <c r="AO62" s="28">
        <f t="shared" si="43"/>
        <v>0</v>
      </c>
      <c r="AP62" s="28">
        <f t="shared" si="43"/>
        <v>0</v>
      </c>
      <c r="AQ62" s="28">
        <f t="shared" si="43"/>
        <v>0</v>
      </c>
      <c r="AR62" s="28">
        <f t="shared" si="43"/>
        <v>0</v>
      </c>
      <c r="AS62" s="28">
        <f t="shared" si="43"/>
        <v>0</v>
      </c>
      <c r="AT62" s="28">
        <f t="shared" si="43"/>
        <v>0</v>
      </c>
      <c r="AU62" s="28">
        <f t="shared" si="43"/>
        <v>0</v>
      </c>
      <c r="AV62" s="28">
        <f t="shared" si="43"/>
        <v>0</v>
      </c>
      <c r="AW62" s="28">
        <f t="shared" si="43"/>
        <v>0</v>
      </c>
      <c r="AX62" s="28">
        <f t="shared" si="43"/>
        <v>0</v>
      </c>
      <c r="AY62" s="28">
        <f t="shared" si="43"/>
        <v>0</v>
      </c>
      <c r="AZ62" s="28">
        <f t="shared" si="43"/>
        <v>0</v>
      </c>
      <c r="BA62" s="28">
        <f t="shared" si="43"/>
        <v>0</v>
      </c>
      <c r="BB62" s="28">
        <f t="shared" si="43"/>
        <v>0</v>
      </c>
      <c r="BC62" s="28">
        <f t="shared" si="43"/>
        <v>0</v>
      </c>
      <c r="BD62" s="28">
        <f t="shared" si="43"/>
        <v>0</v>
      </c>
      <c r="BE62" s="28">
        <f t="shared" si="43"/>
        <v>0</v>
      </c>
      <c r="BF62" s="28">
        <f t="shared" si="43"/>
        <v>0</v>
      </c>
      <c r="BG62" s="28">
        <f t="shared" si="43"/>
        <v>0</v>
      </c>
      <c r="BH62" s="28">
        <f t="shared" si="43"/>
        <v>0</v>
      </c>
      <c r="BI62" s="28">
        <f t="shared" si="43"/>
        <v>0</v>
      </c>
    </row>
    <row r="63" spans="1:61" ht="15.75" customHeight="1" x14ac:dyDescent="0.2">
      <c r="A63" s="24" t="s">
        <v>69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ht="15" customHeight="1" x14ac:dyDescent="0.2">
      <c r="A64" s="11" t="s">
        <v>70</v>
      </c>
      <c r="B64" s="12">
        <v>2393.42</v>
      </c>
      <c r="C64" s="12">
        <v>2393.42</v>
      </c>
      <c r="D64" s="12">
        <v>2393.42</v>
      </c>
      <c r="E64" s="12"/>
      <c r="F64" s="12">
        <v>10949.16</v>
      </c>
      <c r="G64" s="12"/>
      <c r="H64" s="12"/>
      <c r="I64" s="12"/>
      <c r="J64" s="12"/>
      <c r="K64" s="12">
        <f>SUM(G64:J64)</f>
        <v>0</v>
      </c>
      <c r="L64" s="12"/>
      <c r="M64" s="12"/>
      <c r="N64" s="12"/>
      <c r="O64" s="12"/>
      <c r="P64" s="12">
        <f>SUM(L64:O64)</f>
        <v>0</v>
      </c>
      <c r="Q64" s="12"/>
      <c r="R64" s="12"/>
      <c r="S64" s="12"/>
      <c r="T64" s="12"/>
      <c r="U64" s="12">
        <f>SUM(Q64:T64)</f>
        <v>0</v>
      </c>
      <c r="V64" s="12"/>
      <c r="W64" s="12"/>
      <c r="X64" s="12"/>
      <c r="Y64" s="12"/>
      <c r="Z64" s="12">
        <f>SUM(V64:Y64)</f>
        <v>0</v>
      </c>
      <c r="AA64" s="12"/>
      <c r="AB64" s="12"/>
      <c r="AC64" s="12"/>
      <c r="AD64" s="12"/>
      <c r="AE64" s="12">
        <f>SUM(AA64:AD64)</f>
        <v>0</v>
      </c>
      <c r="AF64" s="12"/>
      <c r="AG64" s="12"/>
      <c r="AH64" s="12"/>
      <c r="AI64" s="12"/>
      <c r="AJ64" s="12">
        <f>SUM(AF64:AI64)</f>
        <v>0</v>
      </c>
      <c r="AK64" s="12"/>
      <c r="AL64" s="12"/>
      <c r="AM64" s="12"/>
      <c r="AN64" s="12"/>
      <c r="AO64" s="12">
        <f>SUM(AK64:AN64)</f>
        <v>0</v>
      </c>
      <c r="AP64" s="12"/>
      <c r="AQ64" s="12"/>
      <c r="AR64" s="12"/>
      <c r="AS64" s="12"/>
      <c r="AT64" s="12">
        <f>SUM(AP64:AS64)</f>
        <v>0</v>
      </c>
      <c r="AU64" s="12"/>
      <c r="AV64" s="12"/>
      <c r="AW64" s="12"/>
      <c r="AX64" s="12"/>
      <c r="AY64" s="12">
        <f>SUM(AU64:AX64)</f>
        <v>0</v>
      </c>
      <c r="AZ64" s="12"/>
      <c r="BA64" s="12"/>
      <c r="BB64" s="12"/>
      <c r="BC64" s="12"/>
      <c r="BD64" s="12">
        <f>SUM(AZ64:BC64)</f>
        <v>0</v>
      </c>
      <c r="BE64" s="12"/>
      <c r="BF64" s="12"/>
      <c r="BG64" s="12"/>
      <c r="BH64" s="12"/>
      <c r="BI64" s="12">
        <f>SUM(BE64:BH64)</f>
        <v>0</v>
      </c>
    </row>
    <row r="65" spans="1:61" ht="15" customHeight="1" x14ac:dyDescent="0.2">
      <c r="A65" s="11" t="s">
        <v>71</v>
      </c>
      <c r="B65" s="12">
        <v>343.88</v>
      </c>
      <c r="C65" s="12">
        <v>343.88</v>
      </c>
      <c r="D65" s="12">
        <v>343.88</v>
      </c>
      <c r="E65" s="12"/>
      <c r="F65" s="12">
        <v>0</v>
      </c>
      <c r="G65" s="12"/>
      <c r="H65" s="12"/>
      <c r="I65" s="12"/>
      <c r="J65" s="12"/>
      <c r="K65" s="12">
        <f>SUM(G65:J65)</f>
        <v>0</v>
      </c>
      <c r="L65" s="12"/>
      <c r="M65" s="12"/>
      <c r="N65" s="12"/>
      <c r="O65" s="12"/>
      <c r="P65" s="12">
        <f>SUM(L65:O65)</f>
        <v>0</v>
      </c>
      <c r="Q65" s="12"/>
      <c r="R65" s="12"/>
      <c r="S65" s="12"/>
      <c r="T65" s="12"/>
      <c r="U65" s="12">
        <f>SUM(Q65:T65)</f>
        <v>0</v>
      </c>
      <c r="V65" s="12"/>
      <c r="W65" s="12"/>
      <c r="X65" s="12"/>
      <c r="Y65" s="12"/>
      <c r="Z65" s="12">
        <f>SUM(V65:Y65)</f>
        <v>0</v>
      </c>
      <c r="AA65" s="12"/>
      <c r="AB65" s="12"/>
      <c r="AC65" s="12"/>
      <c r="AD65" s="12"/>
      <c r="AE65" s="12">
        <f>SUM(AA65:AD65)</f>
        <v>0</v>
      </c>
      <c r="AF65" s="12"/>
      <c r="AG65" s="12"/>
      <c r="AH65" s="12"/>
      <c r="AI65" s="12"/>
      <c r="AJ65" s="12">
        <f>SUM(AF65:AI65)</f>
        <v>0</v>
      </c>
      <c r="AK65" s="12"/>
      <c r="AL65" s="12"/>
      <c r="AM65" s="12"/>
      <c r="AN65" s="12"/>
      <c r="AO65" s="12">
        <f>SUM(AK65:AN65)</f>
        <v>0</v>
      </c>
      <c r="AP65" s="12"/>
      <c r="AQ65" s="12"/>
      <c r="AR65" s="12"/>
      <c r="AS65" s="12"/>
      <c r="AT65" s="12">
        <f>SUM(AP65:AS65)</f>
        <v>0</v>
      </c>
      <c r="AU65" s="12"/>
      <c r="AV65" s="12"/>
      <c r="AW65" s="12"/>
      <c r="AX65" s="12"/>
      <c r="AY65" s="12">
        <f>SUM(AU65:AX65)</f>
        <v>0</v>
      </c>
      <c r="AZ65" s="12"/>
      <c r="BA65" s="12"/>
      <c r="BB65" s="12"/>
      <c r="BC65" s="12"/>
      <c r="BD65" s="12">
        <f>SUM(AZ65:BC65)</f>
        <v>0</v>
      </c>
      <c r="BE65" s="12"/>
      <c r="BF65" s="12"/>
      <c r="BG65" s="12"/>
      <c r="BH65" s="12"/>
      <c r="BI65" s="12">
        <f>SUM(BE65:BH65)</f>
        <v>0</v>
      </c>
    </row>
    <row r="66" spans="1:61" ht="15" customHeight="1" x14ac:dyDescent="0.2">
      <c r="A66" s="11" t="s">
        <v>72</v>
      </c>
      <c r="B66" s="12">
        <v>0</v>
      </c>
      <c r="C66" s="12">
        <v>0</v>
      </c>
      <c r="D66" s="12">
        <v>0</v>
      </c>
      <c r="E66" s="12"/>
      <c r="F66" s="12">
        <v>0</v>
      </c>
      <c r="G66" s="12"/>
      <c r="H66" s="12"/>
      <c r="I66" s="12"/>
      <c r="J66" s="12"/>
      <c r="K66" s="12">
        <f>SUM(G66:J66)</f>
        <v>0</v>
      </c>
      <c r="L66" s="12"/>
      <c r="M66" s="12"/>
      <c r="N66" s="12"/>
      <c r="O66" s="12"/>
      <c r="P66" s="12">
        <f>SUM(L66:O66)</f>
        <v>0</v>
      </c>
      <c r="Q66" s="12"/>
      <c r="R66" s="12"/>
      <c r="S66" s="12"/>
      <c r="T66" s="12"/>
      <c r="U66" s="12">
        <f>SUM(Q66:T66)</f>
        <v>0</v>
      </c>
      <c r="V66" s="12"/>
      <c r="W66" s="12"/>
      <c r="X66" s="12"/>
      <c r="Y66" s="12"/>
      <c r="Z66" s="12">
        <f>SUM(V66:Y66)</f>
        <v>0</v>
      </c>
      <c r="AA66" s="12"/>
      <c r="AB66" s="12"/>
      <c r="AC66" s="12"/>
      <c r="AD66" s="12"/>
      <c r="AE66" s="12">
        <f>SUM(AA66:AD66)</f>
        <v>0</v>
      </c>
      <c r="AF66" s="12"/>
      <c r="AG66" s="12"/>
      <c r="AH66" s="12"/>
      <c r="AI66" s="12"/>
      <c r="AJ66" s="12">
        <f>SUM(AF66:AI66)</f>
        <v>0</v>
      </c>
      <c r="AK66" s="12"/>
      <c r="AL66" s="12"/>
      <c r="AM66" s="12"/>
      <c r="AN66" s="12"/>
      <c r="AO66" s="12">
        <f>SUM(AK66:AN66)</f>
        <v>0</v>
      </c>
      <c r="AP66" s="12"/>
      <c r="AQ66" s="12"/>
      <c r="AR66" s="12"/>
      <c r="AS66" s="12"/>
      <c r="AT66" s="12">
        <f>SUM(AP66:AS66)</f>
        <v>0</v>
      </c>
      <c r="AU66" s="12"/>
      <c r="AV66" s="12"/>
      <c r="AW66" s="12"/>
      <c r="AX66" s="12"/>
      <c r="AY66" s="12">
        <f>SUM(AU66:AX66)</f>
        <v>0</v>
      </c>
      <c r="AZ66" s="12"/>
      <c r="BA66" s="12"/>
      <c r="BB66" s="12"/>
      <c r="BC66" s="12"/>
      <c r="BD66" s="12">
        <f>SUM(AZ66:BC66)</f>
        <v>0</v>
      </c>
      <c r="BE66" s="12"/>
      <c r="BF66" s="12"/>
      <c r="BG66" s="12"/>
      <c r="BH66" s="12"/>
      <c r="BI66" s="12">
        <f>SUM(BE66:BH66)</f>
        <v>0</v>
      </c>
    </row>
    <row r="67" spans="1:61" ht="15" customHeight="1" x14ac:dyDescent="0.2">
      <c r="A67" s="11" t="s">
        <v>73</v>
      </c>
      <c r="B67" s="12">
        <v>0</v>
      </c>
      <c r="C67" s="12">
        <v>0</v>
      </c>
      <c r="D67" s="12">
        <v>0</v>
      </c>
      <c r="E67" s="12"/>
      <c r="F67" s="12">
        <v>0</v>
      </c>
      <c r="G67" s="12"/>
      <c r="H67" s="12"/>
      <c r="I67" s="12"/>
      <c r="J67" s="12"/>
      <c r="K67" s="12">
        <f>SUM(G67:J67)</f>
        <v>0</v>
      </c>
      <c r="L67" s="12"/>
      <c r="M67" s="12"/>
      <c r="N67" s="12"/>
      <c r="O67" s="12"/>
      <c r="P67" s="12">
        <f>SUM(L67:O67)</f>
        <v>0</v>
      </c>
      <c r="Q67" s="12"/>
      <c r="R67" s="12"/>
      <c r="S67" s="12"/>
      <c r="T67" s="12"/>
      <c r="U67" s="12">
        <f>SUM(Q67:T67)</f>
        <v>0</v>
      </c>
      <c r="V67" s="12"/>
      <c r="W67" s="12"/>
      <c r="X67" s="12"/>
      <c r="Y67" s="12"/>
      <c r="Z67" s="12">
        <f>SUM(V67:Y67)</f>
        <v>0</v>
      </c>
      <c r="AA67" s="12"/>
      <c r="AB67" s="12"/>
      <c r="AC67" s="12"/>
      <c r="AD67" s="12"/>
      <c r="AE67" s="12">
        <f>SUM(AA67:AD67)</f>
        <v>0</v>
      </c>
      <c r="AF67" s="12"/>
      <c r="AG67" s="12"/>
      <c r="AH67" s="12"/>
      <c r="AI67" s="12"/>
      <c r="AJ67" s="12">
        <f>SUM(AF67:AI67)</f>
        <v>0</v>
      </c>
      <c r="AK67" s="12"/>
      <c r="AL67" s="12"/>
      <c r="AM67" s="12"/>
      <c r="AN67" s="12"/>
      <c r="AO67" s="12">
        <f>SUM(AK67:AN67)</f>
        <v>0</v>
      </c>
      <c r="AP67" s="12"/>
      <c r="AQ67" s="12"/>
      <c r="AR67" s="12"/>
      <c r="AS67" s="12"/>
      <c r="AT67" s="12">
        <f>SUM(AP67:AS67)</f>
        <v>0</v>
      </c>
      <c r="AU67" s="12"/>
      <c r="AV67" s="12"/>
      <c r="AW67" s="12"/>
      <c r="AX67" s="12"/>
      <c r="AY67" s="12">
        <f>SUM(AU67:AX67)</f>
        <v>0</v>
      </c>
      <c r="AZ67" s="12"/>
      <c r="BA67" s="12"/>
      <c r="BB67" s="12"/>
      <c r="BC67" s="12"/>
      <c r="BD67" s="12">
        <f>SUM(AZ67:BC67)</f>
        <v>0</v>
      </c>
      <c r="BE67" s="12"/>
      <c r="BF67" s="12"/>
      <c r="BG67" s="12"/>
      <c r="BH67" s="12"/>
      <c r="BI67" s="12">
        <f>SUM(BE67:BH67)</f>
        <v>0</v>
      </c>
    </row>
    <row r="68" spans="1:61" ht="15.75" customHeight="1" x14ac:dyDescent="0.2">
      <c r="A68" s="27" t="s">
        <v>74</v>
      </c>
      <c r="B68" s="28">
        <f t="shared" ref="B68:AG68" si="44">SUM(B64:B67)</f>
        <v>2737.3</v>
      </c>
      <c r="C68" s="28">
        <f t="shared" si="44"/>
        <v>2737.3</v>
      </c>
      <c r="D68" s="28">
        <f t="shared" si="44"/>
        <v>2737.3</v>
      </c>
      <c r="E68" s="28">
        <f t="shared" si="44"/>
        <v>0</v>
      </c>
      <c r="F68" s="28">
        <f t="shared" si="44"/>
        <v>10949.16</v>
      </c>
      <c r="G68" s="28">
        <f t="shared" si="44"/>
        <v>0</v>
      </c>
      <c r="H68" s="28">
        <f t="shared" si="44"/>
        <v>0</v>
      </c>
      <c r="I68" s="28">
        <f t="shared" si="44"/>
        <v>0</v>
      </c>
      <c r="J68" s="28">
        <f t="shared" si="44"/>
        <v>0</v>
      </c>
      <c r="K68" s="28">
        <f t="shared" si="44"/>
        <v>0</v>
      </c>
      <c r="L68" s="28">
        <f t="shared" si="44"/>
        <v>0</v>
      </c>
      <c r="M68" s="28">
        <f t="shared" si="44"/>
        <v>0</v>
      </c>
      <c r="N68" s="28">
        <f t="shared" si="44"/>
        <v>0</v>
      </c>
      <c r="O68" s="28">
        <f t="shared" si="44"/>
        <v>0</v>
      </c>
      <c r="P68" s="28">
        <f t="shared" si="44"/>
        <v>0</v>
      </c>
      <c r="Q68" s="28">
        <f t="shared" si="44"/>
        <v>0</v>
      </c>
      <c r="R68" s="28">
        <f t="shared" si="44"/>
        <v>0</v>
      </c>
      <c r="S68" s="28">
        <f t="shared" si="44"/>
        <v>0</v>
      </c>
      <c r="T68" s="28">
        <f t="shared" si="44"/>
        <v>0</v>
      </c>
      <c r="U68" s="28">
        <f t="shared" si="44"/>
        <v>0</v>
      </c>
      <c r="V68" s="28">
        <f t="shared" si="44"/>
        <v>0</v>
      </c>
      <c r="W68" s="28">
        <f t="shared" si="44"/>
        <v>0</v>
      </c>
      <c r="X68" s="28">
        <f t="shared" si="44"/>
        <v>0</v>
      </c>
      <c r="Y68" s="28">
        <f t="shared" si="44"/>
        <v>0</v>
      </c>
      <c r="Z68" s="28">
        <f t="shared" si="44"/>
        <v>0</v>
      </c>
      <c r="AA68" s="28">
        <f t="shared" si="44"/>
        <v>0</v>
      </c>
      <c r="AB68" s="28">
        <f t="shared" si="44"/>
        <v>0</v>
      </c>
      <c r="AC68" s="28">
        <f t="shared" si="44"/>
        <v>0</v>
      </c>
      <c r="AD68" s="28">
        <f t="shared" si="44"/>
        <v>0</v>
      </c>
      <c r="AE68" s="28">
        <f t="shared" si="44"/>
        <v>0</v>
      </c>
      <c r="AF68" s="28">
        <f t="shared" si="44"/>
        <v>0</v>
      </c>
      <c r="AG68" s="28">
        <f t="shared" si="44"/>
        <v>0</v>
      </c>
      <c r="AH68" s="28">
        <f t="shared" ref="AH68:BM68" si="45">SUM(AH64:AH67)</f>
        <v>0</v>
      </c>
      <c r="AI68" s="28">
        <f t="shared" si="45"/>
        <v>0</v>
      </c>
      <c r="AJ68" s="28">
        <f t="shared" si="45"/>
        <v>0</v>
      </c>
      <c r="AK68" s="28">
        <f t="shared" si="45"/>
        <v>0</v>
      </c>
      <c r="AL68" s="28">
        <f t="shared" si="45"/>
        <v>0</v>
      </c>
      <c r="AM68" s="28">
        <f t="shared" si="45"/>
        <v>0</v>
      </c>
      <c r="AN68" s="28">
        <f t="shared" si="45"/>
        <v>0</v>
      </c>
      <c r="AO68" s="28">
        <f t="shared" si="45"/>
        <v>0</v>
      </c>
      <c r="AP68" s="28">
        <f t="shared" si="45"/>
        <v>0</v>
      </c>
      <c r="AQ68" s="28">
        <f t="shared" si="45"/>
        <v>0</v>
      </c>
      <c r="AR68" s="28">
        <f t="shared" si="45"/>
        <v>0</v>
      </c>
      <c r="AS68" s="28">
        <f t="shared" si="45"/>
        <v>0</v>
      </c>
      <c r="AT68" s="28">
        <f t="shared" si="45"/>
        <v>0</v>
      </c>
      <c r="AU68" s="28">
        <f t="shared" si="45"/>
        <v>0</v>
      </c>
      <c r="AV68" s="28">
        <f t="shared" si="45"/>
        <v>0</v>
      </c>
      <c r="AW68" s="28">
        <f t="shared" si="45"/>
        <v>0</v>
      </c>
      <c r="AX68" s="28">
        <f t="shared" si="45"/>
        <v>0</v>
      </c>
      <c r="AY68" s="28">
        <f t="shared" si="45"/>
        <v>0</v>
      </c>
      <c r="AZ68" s="28">
        <f t="shared" si="45"/>
        <v>0</v>
      </c>
      <c r="BA68" s="28">
        <f t="shared" si="45"/>
        <v>0</v>
      </c>
      <c r="BB68" s="28">
        <f t="shared" si="45"/>
        <v>0</v>
      </c>
      <c r="BC68" s="28">
        <f t="shared" si="45"/>
        <v>0</v>
      </c>
      <c r="BD68" s="28">
        <f t="shared" si="45"/>
        <v>0</v>
      </c>
      <c r="BE68" s="28">
        <f t="shared" si="45"/>
        <v>0</v>
      </c>
      <c r="BF68" s="28">
        <f t="shared" si="45"/>
        <v>0</v>
      </c>
      <c r="BG68" s="28">
        <f t="shared" si="45"/>
        <v>0</v>
      </c>
      <c r="BH68" s="28">
        <f t="shared" si="45"/>
        <v>0</v>
      </c>
      <c r="BI68" s="28">
        <f t="shared" si="45"/>
        <v>0</v>
      </c>
    </row>
    <row r="69" spans="1:61" ht="15.75" customHeight="1" x14ac:dyDescent="0.2">
      <c r="A69" s="29" t="s">
        <v>75</v>
      </c>
      <c r="B69" s="30">
        <f t="shared" ref="B69:AG69" si="46">B62-B68</f>
        <v>-2737.3</v>
      </c>
      <c r="C69" s="30">
        <f t="shared" si="46"/>
        <v>-2737.3</v>
      </c>
      <c r="D69" s="30">
        <f t="shared" si="46"/>
        <v>-2737.3</v>
      </c>
      <c r="E69" s="30">
        <f t="shared" si="46"/>
        <v>0</v>
      </c>
      <c r="F69" s="30">
        <f t="shared" si="46"/>
        <v>-10949.16</v>
      </c>
      <c r="G69" s="30">
        <f t="shared" si="46"/>
        <v>0</v>
      </c>
      <c r="H69" s="30">
        <f t="shared" si="46"/>
        <v>0</v>
      </c>
      <c r="I69" s="30">
        <f t="shared" si="46"/>
        <v>0</v>
      </c>
      <c r="J69" s="30">
        <f t="shared" si="46"/>
        <v>0</v>
      </c>
      <c r="K69" s="30">
        <f t="shared" si="46"/>
        <v>0</v>
      </c>
      <c r="L69" s="30">
        <f t="shared" si="46"/>
        <v>0</v>
      </c>
      <c r="M69" s="30">
        <f t="shared" si="46"/>
        <v>0</v>
      </c>
      <c r="N69" s="30">
        <f t="shared" si="46"/>
        <v>0</v>
      </c>
      <c r="O69" s="30">
        <f t="shared" si="46"/>
        <v>0</v>
      </c>
      <c r="P69" s="30">
        <f t="shared" si="46"/>
        <v>0</v>
      </c>
      <c r="Q69" s="30">
        <f t="shared" si="46"/>
        <v>0</v>
      </c>
      <c r="R69" s="30">
        <f t="shared" si="46"/>
        <v>0</v>
      </c>
      <c r="S69" s="30">
        <f t="shared" si="46"/>
        <v>0</v>
      </c>
      <c r="T69" s="30">
        <f t="shared" si="46"/>
        <v>0</v>
      </c>
      <c r="U69" s="30">
        <f t="shared" si="46"/>
        <v>0</v>
      </c>
      <c r="V69" s="30">
        <f t="shared" si="46"/>
        <v>0</v>
      </c>
      <c r="W69" s="30">
        <f t="shared" si="46"/>
        <v>0</v>
      </c>
      <c r="X69" s="30">
        <f t="shared" si="46"/>
        <v>0</v>
      </c>
      <c r="Y69" s="30">
        <f t="shared" si="46"/>
        <v>0</v>
      </c>
      <c r="Z69" s="30">
        <f t="shared" si="46"/>
        <v>0</v>
      </c>
      <c r="AA69" s="30">
        <f t="shared" si="46"/>
        <v>0</v>
      </c>
      <c r="AB69" s="30">
        <f t="shared" si="46"/>
        <v>0</v>
      </c>
      <c r="AC69" s="30">
        <f t="shared" si="46"/>
        <v>0</v>
      </c>
      <c r="AD69" s="30">
        <f t="shared" si="46"/>
        <v>0</v>
      </c>
      <c r="AE69" s="30">
        <f t="shared" si="46"/>
        <v>0</v>
      </c>
      <c r="AF69" s="30">
        <f t="shared" si="46"/>
        <v>0</v>
      </c>
      <c r="AG69" s="30">
        <f t="shared" si="46"/>
        <v>0</v>
      </c>
      <c r="AH69" s="30">
        <f t="shared" ref="AH69:BM69" si="47">AH62-AH68</f>
        <v>0</v>
      </c>
      <c r="AI69" s="30">
        <f t="shared" si="47"/>
        <v>0</v>
      </c>
      <c r="AJ69" s="30">
        <f t="shared" si="47"/>
        <v>0</v>
      </c>
      <c r="AK69" s="30">
        <f t="shared" si="47"/>
        <v>0</v>
      </c>
      <c r="AL69" s="30">
        <f t="shared" si="47"/>
        <v>0</v>
      </c>
      <c r="AM69" s="30">
        <f t="shared" si="47"/>
        <v>0</v>
      </c>
      <c r="AN69" s="30">
        <f t="shared" si="47"/>
        <v>0</v>
      </c>
      <c r="AO69" s="30">
        <f t="shared" si="47"/>
        <v>0</v>
      </c>
      <c r="AP69" s="30">
        <f t="shared" si="47"/>
        <v>0</v>
      </c>
      <c r="AQ69" s="30">
        <f t="shared" si="47"/>
        <v>0</v>
      </c>
      <c r="AR69" s="30">
        <f t="shared" si="47"/>
        <v>0</v>
      </c>
      <c r="AS69" s="30">
        <f t="shared" si="47"/>
        <v>0</v>
      </c>
      <c r="AT69" s="30">
        <f t="shared" si="47"/>
        <v>0</v>
      </c>
      <c r="AU69" s="30">
        <f t="shared" si="47"/>
        <v>0</v>
      </c>
      <c r="AV69" s="30">
        <f t="shared" si="47"/>
        <v>0</v>
      </c>
      <c r="AW69" s="30">
        <f t="shared" si="47"/>
        <v>0</v>
      </c>
      <c r="AX69" s="30">
        <f t="shared" si="47"/>
        <v>0</v>
      </c>
      <c r="AY69" s="30">
        <f t="shared" si="47"/>
        <v>0</v>
      </c>
      <c r="AZ69" s="30">
        <f t="shared" si="47"/>
        <v>0</v>
      </c>
      <c r="BA69" s="30">
        <f t="shared" si="47"/>
        <v>0</v>
      </c>
      <c r="BB69" s="30">
        <f t="shared" si="47"/>
        <v>0</v>
      </c>
      <c r="BC69" s="30">
        <f t="shared" si="47"/>
        <v>0</v>
      </c>
      <c r="BD69" s="30">
        <f t="shared" si="47"/>
        <v>0</v>
      </c>
      <c r="BE69" s="30">
        <f t="shared" si="47"/>
        <v>0</v>
      </c>
      <c r="BF69" s="30">
        <f t="shared" si="47"/>
        <v>0</v>
      </c>
      <c r="BG69" s="30">
        <f t="shared" si="47"/>
        <v>0</v>
      </c>
      <c r="BH69" s="30">
        <f t="shared" si="47"/>
        <v>0</v>
      </c>
      <c r="BI69" s="30">
        <f t="shared" si="47"/>
        <v>0</v>
      </c>
    </row>
    <row r="70" spans="1:61" ht="15" customHeight="1" x14ac:dyDescent="0.2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s="19" customFormat="1" ht="21" customHeight="1" x14ac:dyDescent="0.2">
      <c r="A71" s="20" t="s">
        <v>76</v>
      </c>
      <c r="B71" s="21">
        <f t="shared" ref="B71:AG71" si="48">B53+B69</f>
        <v>-5916.1500000000024</v>
      </c>
      <c r="C71" s="21">
        <f t="shared" si="48"/>
        <v>-15287.849999999995</v>
      </c>
      <c r="D71" s="21">
        <f t="shared" si="48"/>
        <v>-6534.3299999999954</v>
      </c>
      <c r="E71" s="21">
        <f t="shared" si="48"/>
        <v>0</v>
      </c>
      <c r="F71" s="21">
        <f t="shared" si="48"/>
        <v>-32930.409999999989</v>
      </c>
      <c r="G71" s="21">
        <f t="shared" si="48"/>
        <v>0</v>
      </c>
      <c r="H71" s="21">
        <f t="shared" si="48"/>
        <v>0</v>
      </c>
      <c r="I71" s="21">
        <f t="shared" si="48"/>
        <v>0</v>
      </c>
      <c r="J71" s="21">
        <f t="shared" si="48"/>
        <v>0</v>
      </c>
      <c r="K71" s="21">
        <f t="shared" si="48"/>
        <v>0</v>
      </c>
      <c r="L71" s="21">
        <f t="shared" si="48"/>
        <v>0</v>
      </c>
      <c r="M71" s="21">
        <f t="shared" si="48"/>
        <v>0</v>
      </c>
      <c r="N71" s="21">
        <f t="shared" si="48"/>
        <v>0</v>
      </c>
      <c r="O71" s="21">
        <f t="shared" si="48"/>
        <v>0</v>
      </c>
      <c r="P71" s="21">
        <f t="shared" si="48"/>
        <v>0</v>
      </c>
      <c r="Q71" s="21">
        <f t="shared" si="48"/>
        <v>0</v>
      </c>
      <c r="R71" s="21">
        <f t="shared" si="48"/>
        <v>0</v>
      </c>
      <c r="S71" s="21">
        <f t="shared" si="48"/>
        <v>0</v>
      </c>
      <c r="T71" s="21">
        <f t="shared" si="48"/>
        <v>0</v>
      </c>
      <c r="U71" s="21">
        <f t="shared" si="48"/>
        <v>26255.193500000023</v>
      </c>
      <c r="V71" s="21">
        <f t="shared" si="48"/>
        <v>0</v>
      </c>
      <c r="W71" s="21">
        <f t="shared" si="48"/>
        <v>0</v>
      </c>
      <c r="X71" s="21">
        <f t="shared" si="48"/>
        <v>0</v>
      </c>
      <c r="Y71" s="21">
        <f t="shared" si="48"/>
        <v>0</v>
      </c>
      <c r="Z71" s="21">
        <f t="shared" si="48"/>
        <v>0</v>
      </c>
      <c r="AA71" s="21">
        <f t="shared" si="48"/>
        <v>0</v>
      </c>
      <c r="AB71" s="21">
        <f t="shared" si="48"/>
        <v>0</v>
      </c>
      <c r="AC71" s="21">
        <f t="shared" si="48"/>
        <v>0</v>
      </c>
      <c r="AD71" s="21">
        <f t="shared" si="48"/>
        <v>0</v>
      </c>
      <c r="AE71" s="21">
        <f t="shared" si="48"/>
        <v>0</v>
      </c>
      <c r="AF71" s="21">
        <f t="shared" si="48"/>
        <v>0</v>
      </c>
      <c r="AG71" s="21">
        <f t="shared" si="48"/>
        <v>0</v>
      </c>
      <c r="AH71" s="21">
        <f t="shared" ref="AH71:BI71" si="49">AH53+AH69</f>
        <v>0</v>
      </c>
      <c r="AI71" s="21">
        <f t="shared" si="49"/>
        <v>0</v>
      </c>
      <c r="AJ71" s="21">
        <f t="shared" si="49"/>
        <v>0</v>
      </c>
      <c r="AK71" s="21">
        <f t="shared" si="49"/>
        <v>0</v>
      </c>
      <c r="AL71" s="21">
        <f t="shared" si="49"/>
        <v>0</v>
      </c>
      <c r="AM71" s="21">
        <f t="shared" si="49"/>
        <v>0</v>
      </c>
      <c r="AN71" s="21">
        <f t="shared" si="49"/>
        <v>0</v>
      </c>
      <c r="AO71" s="21">
        <f t="shared" si="49"/>
        <v>0</v>
      </c>
      <c r="AP71" s="21">
        <f t="shared" si="49"/>
        <v>0</v>
      </c>
      <c r="AQ71" s="21">
        <f t="shared" si="49"/>
        <v>0</v>
      </c>
      <c r="AR71" s="21">
        <f t="shared" si="49"/>
        <v>0</v>
      </c>
      <c r="AS71" s="21">
        <f t="shared" si="49"/>
        <v>0</v>
      </c>
      <c r="AT71" s="21">
        <f t="shared" si="49"/>
        <v>0</v>
      </c>
      <c r="AU71" s="21">
        <f t="shared" si="49"/>
        <v>0</v>
      </c>
      <c r="AV71" s="21">
        <f t="shared" si="49"/>
        <v>0</v>
      </c>
      <c r="AW71" s="21">
        <f t="shared" si="49"/>
        <v>0</v>
      </c>
      <c r="AX71" s="21">
        <f t="shared" si="49"/>
        <v>0</v>
      </c>
      <c r="AY71" s="21">
        <f t="shared" si="49"/>
        <v>0</v>
      </c>
      <c r="AZ71" s="21">
        <f t="shared" si="49"/>
        <v>0</v>
      </c>
      <c r="BA71" s="21">
        <f t="shared" si="49"/>
        <v>0</v>
      </c>
      <c r="BB71" s="21">
        <f t="shared" si="49"/>
        <v>0</v>
      </c>
      <c r="BC71" s="21">
        <f t="shared" si="49"/>
        <v>0</v>
      </c>
      <c r="BD71" s="21">
        <f t="shared" si="49"/>
        <v>0</v>
      </c>
      <c r="BE71" s="21">
        <f t="shared" si="49"/>
        <v>0</v>
      </c>
      <c r="BF71" s="21">
        <f t="shared" si="49"/>
        <v>0</v>
      </c>
      <c r="BG71" s="21">
        <f t="shared" si="49"/>
        <v>0</v>
      </c>
      <c r="BH71" s="21">
        <f t="shared" si="49"/>
        <v>0</v>
      </c>
      <c r="BI71" s="21">
        <f t="shared" si="49"/>
        <v>0</v>
      </c>
    </row>
    <row r="72" spans="1:61" ht="15" customHeight="1" x14ac:dyDescent="0.2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ht="18.75" customHeight="1" x14ac:dyDescent="0.2">
      <c r="A73" s="15" t="s">
        <v>77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2">
      <c r="A74" s="11" t="s">
        <v>78</v>
      </c>
      <c r="B74" s="12">
        <v>114</v>
      </c>
      <c r="C74" s="12">
        <v>114</v>
      </c>
      <c r="D74" s="12">
        <v>114</v>
      </c>
      <c r="E74" s="12"/>
      <c r="F74" s="12">
        <v>982.76</v>
      </c>
      <c r="G74" s="12"/>
      <c r="H74" s="12"/>
      <c r="I74" s="12"/>
      <c r="J74" s="12"/>
      <c r="K74" s="12">
        <f>SUM(G74:J74)</f>
        <v>0</v>
      </c>
      <c r="L74" s="12"/>
      <c r="M74" s="12"/>
      <c r="N74" s="12"/>
      <c r="O74" s="12"/>
      <c r="P74" s="12">
        <f>SUM(L74:O74)</f>
        <v>0</v>
      </c>
      <c r="Q74" s="12"/>
      <c r="R74" s="12"/>
      <c r="S74" s="12"/>
      <c r="T74" s="12"/>
      <c r="U74" s="12">
        <f>SUM(Q74:T74)</f>
        <v>0</v>
      </c>
      <c r="V74" s="12"/>
      <c r="W74" s="12"/>
      <c r="X74" s="12"/>
      <c r="Y74" s="12"/>
      <c r="Z74" s="12">
        <f>SUM(V74:Y74)</f>
        <v>0</v>
      </c>
      <c r="AA74" s="12"/>
      <c r="AB74" s="12"/>
      <c r="AC74" s="12"/>
      <c r="AD74" s="12"/>
      <c r="AE74" s="12">
        <f>SUM(AA74:AD74)</f>
        <v>0</v>
      </c>
      <c r="AF74" s="12"/>
      <c r="AG74" s="12"/>
      <c r="AH74" s="12"/>
      <c r="AI74" s="12"/>
      <c r="AJ74" s="12">
        <f>SUM(AF74:AI74)</f>
        <v>0</v>
      </c>
      <c r="AK74" s="12"/>
      <c r="AL74" s="12"/>
      <c r="AM74" s="12"/>
      <c r="AN74" s="12"/>
      <c r="AO74" s="12">
        <f>SUM(AK74:AN74)</f>
        <v>0</v>
      </c>
      <c r="AP74" s="12"/>
      <c r="AQ74" s="12"/>
      <c r="AR74" s="12"/>
      <c r="AS74" s="12"/>
      <c r="AT74" s="12">
        <f>SUM(AP74:AS74)</f>
        <v>0</v>
      </c>
      <c r="AU74" s="12"/>
      <c r="AV74" s="12"/>
      <c r="AW74" s="12"/>
      <c r="AX74" s="12"/>
      <c r="AY74" s="12">
        <f>SUM(AU74:AX74)</f>
        <v>0</v>
      </c>
      <c r="AZ74" s="12"/>
      <c r="BA74" s="12"/>
      <c r="BB74" s="12"/>
      <c r="BC74" s="12"/>
      <c r="BD74" s="12">
        <f>SUM(AZ74:BC74)</f>
        <v>0</v>
      </c>
      <c r="BE74" s="12"/>
      <c r="BF74" s="12"/>
      <c r="BG74" s="12"/>
      <c r="BH74" s="12"/>
      <c r="BI74" s="12">
        <f>SUM(BE74:BH74)</f>
        <v>0</v>
      </c>
    </row>
    <row r="75" spans="1:61" ht="15.75" customHeight="1" x14ac:dyDescent="0.2">
      <c r="A75" s="31" t="s">
        <v>79</v>
      </c>
      <c r="B75" s="32">
        <f t="shared" ref="B75:AG75" si="50">B74</f>
        <v>114</v>
      </c>
      <c r="C75" s="32">
        <f t="shared" si="50"/>
        <v>114</v>
      </c>
      <c r="D75" s="32">
        <f t="shared" si="50"/>
        <v>114</v>
      </c>
      <c r="E75" s="32">
        <f t="shared" si="50"/>
        <v>0</v>
      </c>
      <c r="F75" s="32">
        <f t="shared" si="50"/>
        <v>982.76</v>
      </c>
      <c r="G75" s="32">
        <f t="shared" si="50"/>
        <v>0</v>
      </c>
      <c r="H75" s="32">
        <f t="shared" si="50"/>
        <v>0</v>
      </c>
      <c r="I75" s="32">
        <f t="shared" si="50"/>
        <v>0</v>
      </c>
      <c r="J75" s="32">
        <f t="shared" si="50"/>
        <v>0</v>
      </c>
      <c r="K75" s="32">
        <f t="shared" si="50"/>
        <v>0</v>
      </c>
      <c r="L75" s="32">
        <f t="shared" si="50"/>
        <v>0</v>
      </c>
      <c r="M75" s="32">
        <f t="shared" si="50"/>
        <v>0</v>
      </c>
      <c r="N75" s="32">
        <f t="shared" si="50"/>
        <v>0</v>
      </c>
      <c r="O75" s="32">
        <f t="shared" si="50"/>
        <v>0</v>
      </c>
      <c r="P75" s="32">
        <f t="shared" si="50"/>
        <v>0</v>
      </c>
      <c r="Q75" s="32">
        <f t="shared" si="50"/>
        <v>0</v>
      </c>
      <c r="R75" s="32">
        <f t="shared" si="50"/>
        <v>0</v>
      </c>
      <c r="S75" s="32">
        <f t="shared" si="50"/>
        <v>0</v>
      </c>
      <c r="T75" s="32">
        <f t="shared" si="50"/>
        <v>0</v>
      </c>
      <c r="U75" s="32">
        <f t="shared" si="50"/>
        <v>0</v>
      </c>
      <c r="V75" s="32">
        <f t="shared" si="50"/>
        <v>0</v>
      </c>
      <c r="W75" s="32">
        <f t="shared" si="50"/>
        <v>0</v>
      </c>
      <c r="X75" s="32">
        <f t="shared" si="50"/>
        <v>0</v>
      </c>
      <c r="Y75" s="32">
        <f t="shared" si="50"/>
        <v>0</v>
      </c>
      <c r="Z75" s="32">
        <f t="shared" si="50"/>
        <v>0</v>
      </c>
      <c r="AA75" s="32">
        <f t="shared" si="50"/>
        <v>0</v>
      </c>
      <c r="AB75" s="32">
        <f t="shared" si="50"/>
        <v>0</v>
      </c>
      <c r="AC75" s="32">
        <f t="shared" si="50"/>
        <v>0</v>
      </c>
      <c r="AD75" s="32">
        <f t="shared" si="50"/>
        <v>0</v>
      </c>
      <c r="AE75" s="32">
        <f t="shared" si="50"/>
        <v>0</v>
      </c>
      <c r="AF75" s="32">
        <f t="shared" si="50"/>
        <v>0</v>
      </c>
      <c r="AG75" s="32">
        <f t="shared" si="50"/>
        <v>0</v>
      </c>
      <c r="AH75" s="32">
        <f t="shared" ref="AH75:BM75" si="51">AH74</f>
        <v>0</v>
      </c>
      <c r="AI75" s="32">
        <f t="shared" si="51"/>
        <v>0</v>
      </c>
      <c r="AJ75" s="32">
        <f t="shared" si="51"/>
        <v>0</v>
      </c>
      <c r="AK75" s="32">
        <f t="shared" si="51"/>
        <v>0</v>
      </c>
      <c r="AL75" s="32">
        <f t="shared" si="51"/>
        <v>0</v>
      </c>
      <c r="AM75" s="32">
        <f t="shared" si="51"/>
        <v>0</v>
      </c>
      <c r="AN75" s="32">
        <f t="shared" si="51"/>
        <v>0</v>
      </c>
      <c r="AO75" s="32">
        <f t="shared" si="51"/>
        <v>0</v>
      </c>
      <c r="AP75" s="32">
        <f t="shared" si="51"/>
        <v>0</v>
      </c>
      <c r="AQ75" s="32">
        <f t="shared" si="51"/>
        <v>0</v>
      </c>
      <c r="AR75" s="32">
        <f t="shared" si="51"/>
        <v>0</v>
      </c>
      <c r="AS75" s="32">
        <f t="shared" si="51"/>
        <v>0</v>
      </c>
      <c r="AT75" s="32">
        <f t="shared" si="51"/>
        <v>0</v>
      </c>
      <c r="AU75" s="32">
        <f t="shared" si="51"/>
        <v>0</v>
      </c>
      <c r="AV75" s="32">
        <f t="shared" si="51"/>
        <v>0</v>
      </c>
      <c r="AW75" s="32">
        <f t="shared" si="51"/>
        <v>0</v>
      </c>
      <c r="AX75" s="32">
        <f t="shared" si="51"/>
        <v>0</v>
      </c>
      <c r="AY75" s="32">
        <f t="shared" si="51"/>
        <v>0</v>
      </c>
      <c r="AZ75" s="32">
        <f t="shared" si="51"/>
        <v>0</v>
      </c>
      <c r="BA75" s="32">
        <f t="shared" si="51"/>
        <v>0</v>
      </c>
      <c r="BB75" s="32">
        <f t="shared" si="51"/>
        <v>0</v>
      </c>
      <c r="BC75" s="32">
        <f t="shared" si="51"/>
        <v>0</v>
      </c>
      <c r="BD75" s="32">
        <f t="shared" si="51"/>
        <v>0</v>
      </c>
      <c r="BE75" s="32">
        <f t="shared" si="51"/>
        <v>0</v>
      </c>
      <c r="BF75" s="32">
        <f t="shared" si="51"/>
        <v>0</v>
      </c>
      <c r="BG75" s="32">
        <f t="shared" si="51"/>
        <v>0</v>
      </c>
      <c r="BH75" s="32">
        <f t="shared" si="51"/>
        <v>0</v>
      </c>
      <c r="BI75" s="32">
        <f t="shared" si="51"/>
        <v>0</v>
      </c>
    </row>
    <row r="76" spans="1:61" ht="15" customHeight="1" x14ac:dyDescent="0.2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s="19" customFormat="1" ht="21" customHeight="1" x14ac:dyDescent="0.2">
      <c r="A77" s="20" t="s">
        <v>80</v>
      </c>
      <c r="B77" s="21">
        <f t="shared" ref="B77:AG77" si="52">B71-B75</f>
        <v>-6030.1500000000024</v>
      </c>
      <c r="C77" s="21">
        <f t="shared" si="52"/>
        <v>-15401.849999999995</v>
      </c>
      <c r="D77" s="21">
        <f t="shared" si="52"/>
        <v>-6648.3299999999954</v>
      </c>
      <c r="E77" s="21">
        <f t="shared" si="52"/>
        <v>0</v>
      </c>
      <c r="F77" s="21">
        <f t="shared" si="52"/>
        <v>-33913.169999999991</v>
      </c>
      <c r="G77" s="21">
        <f t="shared" si="52"/>
        <v>0</v>
      </c>
      <c r="H77" s="21">
        <f t="shared" si="52"/>
        <v>0</v>
      </c>
      <c r="I77" s="21">
        <f t="shared" si="52"/>
        <v>0</v>
      </c>
      <c r="J77" s="21">
        <f t="shared" si="52"/>
        <v>0</v>
      </c>
      <c r="K77" s="21">
        <f t="shared" si="52"/>
        <v>0</v>
      </c>
      <c r="L77" s="21">
        <f t="shared" si="52"/>
        <v>0</v>
      </c>
      <c r="M77" s="21">
        <f t="shared" si="52"/>
        <v>0</v>
      </c>
      <c r="N77" s="21">
        <f t="shared" si="52"/>
        <v>0</v>
      </c>
      <c r="O77" s="21">
        <f t="shared" si="52"/>
        <v>0</v>
      </c>
      <c r="P77" s="21">
        <f t="shared" si="52"/>
        <v>0</v>
      </c>
      <c r="Q77" s="21">
        <f t="shared" si="52"/>
        <v>0</v>
      </c>
      <c r="R77" s="21">
        <f t="shared" si="52"/>
        <v>0</v>
      </c>
      <c r="S77" s="21">
        <f t="shared" si="52"/>
        <v>0</v>
      </c>
      <c r="T77" s="21">
        <f t="shared" si="52"/>
        <v>0</v>
      </c>
      <c r="U77" s="21">
        <f t="shared" si="52"/>
        <v>26255.193500000023</v>
      </c>
      <c r="V77" s="21">
        <f t="shared" si="52"/>
        <v>0</v>
      </c>
      <c r="W77" s="21">
        <f t="shared" si="52"/>
        <v>0</v>
      </c>
      <c r="X77" s="21">
        <f t="shared" si="52"/>
        <v>0</v>
      </c>
      <c r="Y77" s="21">
        <f t="shared" si="52"/>
        <v>0</v>
      </c>
      <c r="Z77" s="21">
        <f t="shared" si="52"/>
        <v>0</v>
      </c>
      <c r="AA77" s="21">
        <f t="shared" si="52"/>
        <v>0</v>
      </c>
      <c r="AB77" s="21">
        <f t="shared" si="52"/>
        <v>0</v>
      </c>
      <c r="AC77" s="21">
        <f t="shared" si="52"/>
        <v>0</v>
      </c>
      <c r="AD77" s="21">
        <f t="shared" si="52"/>
        <v>0</v>
      </c>
      <c r="AE77" s="21">
        <f t="shared" si="52"/>
        <v>0</v>
      </c>
      <c r="AF77" s="21">
        <f t="shared" si="52"/>
        <v>0</v>
      </c>
      <c r="AG77" s="21">
        <f t="shared" si="52"/>
        <v>0</v>
      </c>
      <c r="AH77" s="21">
        <f t="shared" ref="AH77:BI77" si="53">AH71-AH75</f>
        <v>0</v>
      </c>
      <c r="AI77" s="21">
        <f t="shared" si="53"/>
        <v>0</v>
      </c>
      <c r="AJ77" s="21">
        <f t="shared" si="53"/>
        <v>0</v>
      </c>
      <c r="AK77" s="21">
        <f t="shared" si="53"/>
        <v>0</v>
      </c>
      <c r="AL77" s="21">
        <f t="shared" si="53"/>
        <v>0</v>
      </c>
      <c r="AM77" s="21">
        <f t="shared" si="53"/>
        <v>0</v>
      </c>
      <c r="AN77" s="21">
        <f t="shared" si="53"/>
        <v>0</v>
      </c>
      <c r="AO77" s="21">
        <f t="shared" si="53"/>
        <v>0</v>
      </c>
      <c r="AP77" s="21">
        <f t="shared" si="53"/>
        <v>0</v>
      </c>
      <c r="AQ77" s="21">
        <f t="shared" si="53"/>
        <v>0</v>
      </c>
      <c r="AR77" s="21">
        <f t="shared" si="53"/>
        <v>0</v>
      </c>
      <c r="AS77" s="21">
        <f t="shared" si="53"/>
        <v>0</v>
      </c>
      <c r="AT77" s="21">
        <f t="shared" si="53"/>
        <v>0</v>
      </c>
      <c r="AU77" s="21">
        <f t="shared" si="53"/>
        <v>0</v>
      </c>
      <c r="AV77" s="21">
        <f t="shared" si="53"/>
        <v>0</v>
      </c>
      <c r="AW77" s="21">
        <f t="shared" si="53"/>
        <v>0</v>
      </c>
      <c r="AX77" s="21">
        <f t="shared" si="53"/>
        <v>0</v>
      </c>
      <c r="AY77" s="21">
        <f t="shared" si="53"/>
        <v>0</v>
      </c>
      <c r="AZ77" s="21">
        <f t="shared" si="53"/>
        <v>0</v>
      </c>
      <c r="BA77" s="21">
        <f t="shared" si="53"/>
        <v>0</v>
      </c>
      <c r="BB77" s="21">
        <f t="shared" si="53"/>
        <v>0</v>
      </c>
      <c r="BC77" s="21">
        <f t="shared" si="53"/>
        <v>0</v>
      </c>
      <c r="BD77" s="21">
        <f t="shared" si="53"/>
        <v>0</v>
      </c>
      <c r="BE77" s="21">
        <f t="shared" si="53"/>
        <v>0</v>
      </c>
      <c r="BF77" s="21">
        <f t="shared" si="53"/>
        <v>0</v>
      </c>
      <c r="BG77" s="21">
        <f t="shared" si="53"/>
        <v>0</v>
      </c>
      <c r="BH77" s="21">
        <f t="shared" si="53"/>
        <v>0</v>
      </c>
      <c r="BI77" s="21">
        <f t="shared" si="53"/>
        <v>0</v>
      </c>
    </row>
    <row r="78" spans="1:61" ht="18.75" customHeight="1" x14ac:dyDescent="0.2">
      <c r="A78" s="22" t="s">
        <v>81</v>
      </c>
      <c r="B78" s="23">
        <f t="shared" ref="B78:AG78" si="54">IF(B18=0,0,B77/B18)</f>
        <v>-0.19211714840250449</v>
      </c>
      <c r="C78" s="23">
        <f t="shared" si="54"/>
        <v>-0.37406619156251736</v>
      </c>
      <c r="D78" s="23">
        <f t="shared" si="54"/>
        <v>-0.14680950292610723</v>
      </c>
      <c r="E78" s="23">
        <f t="shared" si="54"/>
        <v>0</v>
      </c>
      <c r="F78" s="23">
        <f t="shared" si="54"/>
        <v>-0.1877400748841819</v>
      </c>
      <c r="G78" s="23">
        <f t="shared" si="54"/>
        <v>0</v>
      </c>
      <c r="H78" s="23">
        <f t="shared" si="54"/>
        <v>0</v>
      </c>
      <c r="I78" s="23">
        <f t="shared" si="54"/>
        <v>0</v>
      </c>
      <c r="J78" s="23">
        <f t="shared" si="54"/>
        <v>0</v>
      </c>
      <c r="K78" s="23">
        <f t="shared" si="54"/>
        <v>0</v>
      </c>
      <c r="L78" s="23">
        <f t="shared" si="54"/>
        <v>0</v>
      </c>
      <c r="M78" s="23">
        <f t="shared" si="54"/>
        <v>0</v>
      </c>
      <c r="N78" s="23">
        <f t="shared" si="54"/>
        <v>0</v>
      </c>
      <c r="O78" s="23">
        <f t="shared" si="54"/>
        <v>0</v>
      </c>
      <c r="P78" s="23">
        <f t="shared" si="54"/>
        <v>0</v>
      </c>
      <c r="Q78" s="23">
        <f t="shared" si="54"/>
        <v>0</v>
      </c>
      <c r="R78" s="23">
        <f t="shared" si="54"/>
        <v>0</v>
      </c>
      <c r="S78" s="23">
        <f t="shared" si="54"/>
        <v>0</v>
      </c>
      <c r="T78" s="23">
        <f t="shared" si="54"/>
        <v>0</v>
      </c>
      <c r="U78" s="23">
        <f t="shared" si="54"/>
        <v>6.7500303019623203E-2</v>
      </c>
      <c r="V78" s="23">
        <f t="shared" si="54"/>
        <v>0</v>
      </c>
      <c r="W78" s="23">
        <f t="shared" si="54"/>
        <v>0</v>
      </c>
      <c r="X78" s="23">
        <f t="shared" si="54"/>
        <v>0</v>
      </c>
      <c r="Y78" s="23">
        <f t="shared" si="54"/>
        <v>0</v>
      </c>
      <c r="Z78" s="23">
        <f t="shared" si="54"/>
        <v>0</v>
      </c>
      <c r="AA78" s="23">
        <f t="shared" si="54"/>
        <v>0</v>
      </c>
      <c r="AB78" s="23">
        <f t="shared" si="54"/>
        <v>0</v>
      </c>
      <c r="AC78" s="23">
        <f t="shared" si="54"/>
        <v>0</v>
      </c>
      <c r="AD78" s="23">
        <f t="shared" si="54"/>
        <v>0</v>
      </c>
      <c r="AE78" s="23">
        <f t="shared" si="54"/>
        <v>0</v>
      </c>
      <c r="AF78" s="23">
        <f t="shared" si="54"/>
        <v>0</v>
      </c>
      <c r="AG78" s="23">
        <f t="shared" si="54"/>
        <v>0</v>
      </c>
      <c r="AH78" s="23">
        <f t="shared" ref="AH78:BM78" si="55">IF(AH18=0,0,AH77/AH18)</f>
        <v>0</v>
      </c>
      <c r="AI78" s="23">
        <f t="shared" si="55"/>
        <v>0</v>
      </c>
      <c r="AJ78" s="23">
        <f t="shared" si="55"/>
        <v>0</v>
      </c>
      <c r="AK78" s="23">
        <f t="shared" si="55"/>
        <v>0</v>
      </c>
      <c r="AL78" s="23">
        <f t="shared" si="55"/>
        <v>0</v>
      </c>
      <c r="AM78" s="23">
        <f t="shared" si="55"/>
        <v>0</v>
      </c>
      <c r="AN78" s="23">
        <f t="shared" si="55"/>
        <v>0</v>
      </c>
      <c r="AO78" s="23">
        <f t="shared" si="55"/>
        <v>0</v>
      </c>
      <c r="AP78" s="23">
        <f t="shared" si="55"/>
        <v>0</v>
      </c>
      <c r="AQ78" s="23">
        <f t="shared" si="55"/>
        <v>0</v>
      </c>
      <c r="AR78" s="23">
        <f t="shared" si="55"/>
        <v>0</v>
      </c>
      <c r="AS78" s="23">
        <f t="shared" si="55"/>
        <v>0</v>
      </c>
      <c r="AT78" s="23">
        <f t="shared" si="55"/>
        <v>0</v>
      </c>
      <c r="AU78" s="23">
        <f t="shared" si="55"/>
        <v>0</v>
      </c>
      <c r="AV78" s="23">
        <f t="shared" si="55"/>
        <v>0</v>
      </c>
      <c r="AW78" s="23">
        <f t="shared" si="55"/>
        <v>0</v>
      </c>
      <c r="AX78" s="23">
        <f t="shared" si="55"/>
        <v>0</v>
      </c>
      <c r="AY78" s="23">
        <f t="shared" si="55"/>
        <v>0</v>
      </c>
      <c r="AZ78" s="23">
        <f t="shared" si="55"/>
        <v>0</v>
      </c>
      <c r="BA78" s="23">
        <f t="shared" si="55"/>
        <v>0</v>
      </c>
      <c r="BB78" s="23">
        <f t="shared" si="55"/>
        <v>0</v>
      </c>
      <c r="BC78" s="23">
        <f t="shared" si="55"/>
        <v>0</v>
      </c>
      <c r="BD78" s="23">
        <f t="shared" si="55"/>
        <v>0</v>
      </c>
      <c r="BE78" s="23">
        <f t="shared" si="55"/>
        <v>0</v>
      </c>
      <c r="BF78" s="23">
        <f t="shared" si="55"/>
        <v>0</v>
      </c>
      <c r="BG78" s="23">
        <f t="shared" si="55"/>
        <v>0</v>
      </c>
      <c r="BH78" s="23">
        <f t="shared" si="55"/>
        <v>0</v>
      </c>
      <c r="BI78" s="23">
        <f t="shared" si="55"/>
        <v>0</v>
      </c>
    </row>
  </sheetData>
  <mergeCells count="12">
    <mergeCell ref="AZ3:BD3"/>
    <mergeCell ref="BE3:BI3"/>
    <mergeCell ref="AA3:AE3"/>
    <mergeCell ref="AF3:AJ3"/>
    <mergeCell ref="AK3:AO3"/>
    <mergeCell ref="AP3:AT3"/>
    <mergeCell ref="AU3:AY3"/>
    <mergeCell ref="B3:F3"/>
    <mergeCell ref="G3:K3"/>
    <mergeCell ref="L3:P3"/>
    <mergeCell ref="Q3:U3"/>
    <mergeCell ref="V3:Z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gerencial@gbimportadora.com</cp:lastModifiedBy>
  <cp:revision>0</cp:revision>
  <dcterms:created xsi:type="dcterms:W3CDTF">2026-01-06T20:26:19Z</dcterms:created>
  <dcterms:modified xsi:type="dcterms:W3CDTF">2026-05-06T23:14:37Z</dcterms:modified>
  <dc:language>en-US</dc:language>
</cp:coreProperties>
</file>